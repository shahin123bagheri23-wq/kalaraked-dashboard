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hin\Desktop\kalaraked\"/>
    </mc:Choice>
  </mc:AlternateContent>
  <xr:revisionPtr revIDLastSave="0" documentId="13_ncr:1_{F16867C5-4BAC-477A-A6A3-7DC79C8357CC}" xr6:coauthVersionLast="47" xr6:coauthVersionMax="47" xr10:uidLastSave="{00000000-0000-0000-0000-000000000000}"/>
  <bookViews>
    <workbookView xWindow="-108" yWindow="-108" windowWidth="23256" windowHeight="12456" xr2:uid="{4E2BCD16-5C7D-455A-BAFB-DF1B74ADACCA}"/>
  </bookViews>
  <sheets>
    <sheet name="روند و تارگت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T2" i="1"/>
  <c r="Q32" i="1"/>
  <c r="Q61" i="1"/>
  <c r="Q4" i="1"/>
  <c r="S4" i="1" s="1"/>
  <c r="Q62" i="1"/>
  <c r="Q53" i="1"/>
  <c r="S53" i="1" s="1"/>
  <c r="Q70" i="1"/>
  <c r="Q72" i="1"/>
  <c r="R72" i="1" s="1"/>
  <c r="Q69" i="1"/>
  <c r="Q21" i="1"/>
  <c r="S21" i="1" s="1"/>
  <c r="Q65" i="1"/>
  <c r="S65" i="1" s="1"/>
  <c r="Q51" i="1"/>
  <c r="S51" i="1" s="1"/>
  <c r="Q20" i="1"/>
  <c r="S20" i="1" s="1"/>
  <c r="Q71" i="1"/>
  <c r="Q68" i="1"/>
  <c r="Q33" i="1"/>
  <c r="Q52" i="1"/>
  <c r="Q63" i="1"/>
  <c r="S63" i="1" s="1"/>
  <c r="Q8" i="1"/>
  <c r="S8" i="1" s="1"/>
  <c r="Q54" i="1"/>
  <c r="S54" i="1" s="1"/>
  <c r="Q59" i="1"/>
  <c r="S59" i="1" s="1"/>
  <c r="Q40" i="1"/>
  <c r="S40" i="1" s="1"/>
  <c r="Q14" i="1"/>
  <c r="S14" i="1" s="1"/>
  <c r="Q64" i="1"/>
  <c r="S64" i="1" s="1"/>
  <c r="Q58" i="1"/>
  <c r="S58" i="1" s="1"/>
  <c r="Q66" i="1"/>
  <c r="Q18" i="1"/>
  <c r="Q41" i="1"/>
  <c r="S41" i="1" s="1"/>
  <c r="Q29" i="1"/>
  <c r="Q60" i="1"/>
  <c r="S60" i="1" s="1"/>
  <c r="Q67" i="1"/>
  <c r="Q23" i="1"/>
  <c r="R23" i="1" s="1"/>
  <c r="Q37" i="1"/>
  <c r="Q43" i="1"/>
  <c r="S43" i="1" s="1"/>
  <c r="Q36" i="1"/>
  <c r="S36" i="1" s="1"/>
  <c r="Q48" i="1"/>
  <c r="S48" i="1" s="1"/>
  <c r="Q45" i="1"/>
  <c r="S45" i="1" s="1"/>
  <c r="Q44" i="1"/>
  <c r="Q42" i="1"/>
  <c r="Q3" i="1"/>
  <c r="Q24" i="1"/>
  <c r="Q17" i="1"/>
  <c r="S17" i="1" s="1"/>
  <c r="Q30" i="1"/>
  <c r="S30" i="1" s="1"/>
  <c r="Q46" i="1"/>
  <c r="S46" i="1" s="1"/>
  <c r="Q34" i="1"/>
  <c r="S34" i="1" s="1"/>
  <c r="Q35" i="1"/>
  <c r="S35" i="1" s="1"/>
  <c r="Q47" i="1"/>
  <c r="S47" i="1" s="1"/>
  <c r="Q39" i="1"/>
  <c r="S39" i="1" s="1"/>
  <c r="Q50" i="1"/>
  <c r="S50" i="1" s="1"/>
  <c r="Q56" i="1"/>
  <c r="Q22" i="1"/>
  <c r="Q6" i="1"/>
  <c r="S6" i="1" s="1"/>
  <c r="Q19" i="1"/>
  <c r="Q55" i="1"/>
  <c r="S55" i="1" s="1"/>
  <c r="Q28" i="1"/>
  <c r="Q12" i="1"/>
  <c r="R12" i="1" s="1"/>
  <c r="Q25" i="1"/>
  <c r="Q57" i="1"/>
  <c r="S57" i="1" s="1"/>
  <c r="Q31" i="1"/>
  <c r="S31" i="1" s="1"/>
  <c r="Q49" i="1"/>
  <c r="S49" i="1" s="1"/>
  <c r="Q5" i="1"/>
  <c r="S5" i="1" s="1"/>
  <c r="Q38" i="1"/>
  <c r="Q13" i="1"/>
  <c r="Q15" i="1"/>
  <c r="Q7" i="1"/>
  <c r="Q16" i="1"/>
  <c r="S16" i="1" s="1"/>
  <c r="Q10" i="1"/>
  <c r="S10" i="1" s="1"/>
  <c r="Q9" i="1"/>
  <c r="S9" i="1" s="1"/>
  <c r="Q26" i="1"/>
  <c r="S26" i="1" s="1"/>
  <c r="Q11" i="1"/>
  <c r="S11" i="1" s="1"/>
  <c r="Q27" i="1"/>
  <c r="S27" i="1" s="1"/>
  <c r="Q2" i="1"/>
  <c r="S2" i="1" s="1"/>
  <c r="P2" i="1"/>
  <c r="O2" i="1"/>
  <c r="G2" i="1"/>
  <c r="A2" i="1"/>
  <c r="T27" i="1"/>
  <c r="P27" i="1"/>
  <c r="O27" i="1"/>
  <c r="G27" i="1"/>
  <c r="A27" i="1"/>
  <c r="T11" i="1"/>
  <c r="P11" i="1"/>
  <c r="O11" i="1"/>
  <c r="G11" i="1"/>
  <c r="A11" i="1"/>
  <c r="T26" i="1"/>
  <c r="P26" i="1"/>
  <c r="O26" i="1"/>
  <c r="G26" i="1"/>
  <c r="A26" i="1"/>
  <c r="T9" i="1"/>
  <c r="P9" i="1"/>
  <c r="O9" i="1"/>
  <c r="G9" i="1"/>
  <c r="A9" i="1"/>
  <c r="T10" i="1"/>
  <c r="P10" i="1"/>
  <c r="O10" i="1"/>
  <c r="G10" i="1"/>
  <c r="A10" i="1"/>
  <c r="T16" i="1"/>
  <c r="P16" i="1"/>
  <c r="O16" i="1"/>
  <c r="G16" i="1"/>
  <c r="A16" i="1"/>
  <c r="T7" i="1"/>
  <c r="S7" i="1"/>
  <c r="P7" i="1"/>
  <c r="O7" i="1"/>
  <c r="G7" i="1"/>
  <c r="A7" i="1"/>
  <c r="T15" i="1"/>
  <c r="S15" i="1"/>
  <c r="P15" i="1"/>
  <c r="O15" i="1"/>
  <c r="G15" i="1"/>
  <c r="A15" i="1"/>
  <c r="T13" i="1"/>
  <c r="S13" i="1"/>
  <c r="P13" i="1"/>
  <c r="O13" i="1"/>
  <c r="G13" i="1"/>
  <c r="A13" i="1"/>
  <c r="T38" i="1"/>
  <c r="S38" i="1"/>
  <c r="P38" i="1"/>
  <c r="O38" i="1"/>
  <c r="G38" i="1"/>
  <c r="A38" i="1"/>
  <c r="T5" i="1"/>
  <c r="P5" i="1"/>
  <c r="O5" i="1"/>
  <c r="G5" i="1"/>
  <c r="A5" i="1"/>
  <c r="T49" i="1"/>
  <c r="P49" i="1"/>
  <c r="O49" i="1"/>
  <c r="G49" i="1"/>
  <c r="A49" i="1"/>
  <c r="T31" i="1"/>
  <c r="P31" i="1"/>
  <c r="O31" i="1"/>
  <c r="G31" i="1"/>
  <c r="A31" i="1"/>
  <c r="T57" i="1"/>
  <c r="P57" i="1"/>
  <c r="O57" i="1"/>
  <c r="G57" i="1"/>
  <c r="A57" i="1"/>
  <c r="T25" i="1"/>
  <c r="S25" i="1"/>
  <c r="P25" i="1"/>
  <c r="O25" i="1"/>
  <c r="G25" i="1"/>
  <c r="A25" i="1"/>
  <c r="T12" i="1"/>
  <c r="P12" i="1"/>
  <c r="O12" i="1"/>
  <c r="G12" i="1"/>
  <c r="A12" i="1"/>
  <c r="T28" i="1"/>
  <c r="S28" i="1"/>
  <c r="P28" i="1"/>
  <c r="O28" i="1"/>
  <c r="G28" i="1"/>
  <c r="A28" i="1"/>
  <c r="T55" i="1"/>
  <c r="P55" i="1"/>
  <c r="O55" i="1"/>
  <c r="G55" i="1"/>
  <c r="A55" i="1"/>
  <c r="T19" i="1"/>
  <c r="S19" i="1"/>
  <c r="P19" i="1"/>
  <c r="O19" i="1"/>
  <c r="G19" i="1"/>
  <c r="A19" i="1"/>
  <c r="T6" i="1"/>
  <c r="P6" i="1"/>
  <c r="O6" i="1"/>
  <c r="G6" i="1"/>
  <c r="A6" i="1"/>
  <c r="T22" i="1"/>
  <c r="S22" i="1"/>
  <c r="P22" i="1"/>
  <c r="O22" i="1"/>
  <c r="G22" i="1"/>
  <c r="A22" i="1"/>
  <c r="T56" i="1"/>
  <c r="S56" i="1"/>
  <c r="P56" i="1"/>
  <c r="O56" i="1"/>
  <c r="G56" i="1"/>
  <c r="A56" i="1"/>
  <c r="T50" i="1"/>
  <c r="P50" i="1"/>
  <c r="O50" i="1"/>
  <c r="G50" i="1"/>
  <c r="A50" i="1"/>
  <c r="T39" i="1"/>
  <c r="P39" i="1"/>
  <c r="O39" i="1"/>
  <c r="G39" i="1"/>
  <c r="A39" i="1"/>
  <c r="T47" i="1"/>
  <c r="P47" i="1"/>
  <c r="O47" i="1"/>
  <c r="G47" i="1"/>
  <c r="A47" i="1"/>
  <c r="T35" i="1"/>
  <c r="P35" i="1"/>
  <c r="O35" i="1"/>
  <c r="G35" i="1"/>
  <c r="A35" i="1"/>
  <c r="T34" i="1"/>
  <c r="P34" i="1"/>
  <c r="O34" i="1"/>
  <c r="G34" i="1"/>
  <c r="A34" i="1"/>
  <c r="T46" i="1"/>
  <c r="P46" i="1"/>
  <c r="O46" i="1"/>
  <c r="G46" i="1"/>
  <c r="A46" i="1"/>
  <c r="T30" i="1"/>
  <c r="P30" i="1"/>
  <c r="O30" i="1"/>
  <c r="G30" i="1"/>
  <c r="A30" i="1"/>
  <c r="T17" i="1"/>
  <c r="P17" i="1"/>
  <c r="O17" i="1"/>
  <c r="G17" i="1"/>
  <c r="A17" i="1"/>
  <c r="T24" i="1"/>
  <c r="S24" i="1"/>
  <c r="P24" i="1"/>
  <c r="O24" i="1"/>
  <c r="G24" i="1"/>
  <c r="A24" i="1"/>
  <c r="T3" i="1"/>
  <c r="S3" i="1"/>
  <c r="P3" i="1"/>
  <c r="O3" i="1"/>
  <c r="G3" i="1"/>
  <c r="A3" i="1"/>
  <c r="T42" i="1"/>
  <c r="S42" i="1"/>
  <c r="P42" i="1"/>
  <c r="O42" i="1"/>
  <c r="G42" i="1"/>
  <c r="A42" i="1"/>
  <c r="T44" i="1"/>
  <c r="R44" i="1"/>
  <c r="P44" i="1"/>
  <c r="O44" i="1"/>
  <c r="G44" i="1"/>
  <c r="A44" i="1"/>
  <c r="T45" i="1"/>
  <c r="P45" i="1"/>
  <c r="O45" i="1"/>
  <c r="G45" i="1"/>
  <c r="A45" i="1"/>
  <c r="T48" i="1"/>
  <c r="P48" i="1"/>
  <c r="O48" i="1"/>
  <c r="G48" i="1"/>
  <c r="A48" i="1"/>
  <c r="T36" i="1"/>
  <c r="P36" i="1"/>
  <c r="O36" i="1"/>
  <c r="G36" i="1"/>
  <c r="A36" i="1"/>
  <c r="T43" i="1"/>
  <c r="P43" i="1"/>
  <c r="O43" i="1"/>
  <c r="G43" i="1"/>
  <c r="A43" i="1"/>
  <c r="T37" i="1"/>
  <c r="S37" i="1"/>
  <c r="P37" i="1"/>
  <c r="O37" i="1"/>
  <c r="G37" i="1"/>
  <c r="A37" i="1"/>
  <c r="T23" i="1"/>
  <c r="P23" i="1"/>
  <c r="O23" i="1"/>
  <c r="G23" i="1"/>
  <c r="A23" i="1"/>
  <c r="T67" i="1"/>
  <c r="S67" i="1"/>
  <c r="P67" i="1"/>
  <c r="O67" i="1"/>
  <c r="G67" i="1"/>
  <c r="A67" i="1"/>
  <c r="T60" i="1"/>
  <c r="P60" i="1"/>
  <c r="O60" i="1"/>
  <c r="G60" i="1"/>
  <c r="A60" i="1"/>
  <c r="T29" i="1"/>
  <c r="R29" i="1"/>
  <c r="P29" i="1"/>
  <c r="O29" i="1"/>
  <c r="G29" i="1"/>
  <c r="A29" i="1"/>
  <c r="T41" i="1"/>
  <c r="P41" i="1"/>
  <c r="O41" i="1"/>
  <c r="G41" i="1"/>
  <c r="A41" i="1"/>
  <c r="T18" i="1"/>
  <c r="S18" i="1"/>
  <c r="P18" i="1"/>
  <c r="O18" i="1"/>
  <c r="G18" i="1"/>
  <c r="A18" i="1"/>
  <c r="T66" i="1"/>
  <c r="S66" i="1"/>
  <c r="P66" i="1"/>
  <c r="O66" i="1"/>
  <c r="G66" i="1"/>
  <c r="A66" i="1"/>
  <c r="T58" i="1"/>
  <c r="P58" i="1"/>
  <c r="O58" i="1"/>
  <c r="G58" i="1"/>
  <c r="A58" i="1"/>
  <c r="T64" i="1"/>
  <c r="P64" i="1"/>
  <c r="O64" i="1"/>
  <c r="G64" i="1"/>
  <c r="A64" i="1"/>
  <c r="T14" i="1"/>
  <c r="P14" i="1"/>
  <c r="O14" i="1"/>
  <c r="G14" i="1"/>
  <c r="A14" i="1"/>
  <c r="T40" i="1"/>
  <c r="P40" i="1"/>
  <c r="O40" i="1"/>
  <c r="G40" i="1"/>
  <c r="A40" i="1"/>
  <c r="T59" i="1"/>
  <c r="P59" i="1"/>
  <c r="O59" i="1"/>
  <c r="G59" i="1"/>
  <c r="A59" i="1"/>
  <c r="T54" i="1"/>
  <c r="P54" i="1"/>
  <c r="O54" i="1"/>
  <c r="G54" i="1"/>
  <c r="A54" i="1"/>
  <c r="T8" i="1"/>
  <c r="P8" i="1"/>
  <c r="O8" i="1"/>
  <c r="G8" i="1"/>
  <c r="A8" i="1"/>
  <c r="T63" i="1"/>
  <c r="P63" i="1"/>
  <c r="O63" i="1"/>
  <c r="G63" i="1"/>
  <c r="A63" i="1"/>
  <c r="T52" i="1"/>
  <c r="R52" i="1"/>
  <c r="P52" i="1"/>
  <c r="O52" i="1"/>
  <c r="G52" i="1"/>
  <c r="A52" i="1"/>
  <c r="T33" i="1"/>
  <c r="S33" i="1"/>
  <c r="P33" i="1"/>
  <c r="O33" i="1"/>
  <c r="G33" i="1"/>
  <c r="A33" i="1"/>
  <c r="T68" i="1"/>
  <c r="S68" i="1"/>
  <c r="P68" i="1"/>
  <c r="O68" i="1"/>
  <c r="G68" i="1"/>
  <c r="A68" i="1"/>
  <c r="T71" i="1"/>
  <c r="S71" i="1"/>
  <c r="P71" i="1"/>
  <c r="O71" i="1"/>
  <c r="G71" i="1"/>
  <c r="A71" i="1"/>
  <c r="T20" i="1"/>
  <c r="P20" i="1"/>
  <c r="O20" i="1"/>
  <c r="G20" i="1"/>
  <c r="A20" i="1"/>
  <c r="T51" i="1"/>
  <c r="P51" i="1"/>
  <c r="O51" i="1"/>
  <c r="G51" i="1"/>
  <c r="A51" i="1"/>
  <c r="T65" i="1"/>
  <c r="P65" i="1"/>
  <c r="O65" i="1"/>
  <c r="G65" i="1"/>
  <c r="A65" i="1"/>
  <c r="T21" i="1"/>
  <c r="P21" i="1"/>
  <c r="O21" i="1"/>
  <c r="G21" i="1"/>
  <c r="A21" i="1"/>
  <c r="T69" i="1"/>
  <c r="S69" i="1"/>
  <c r="P69" i="1"/>
  <c r="O69" i="1"/>
  <c r="G69" i="1"/>
  <c r="A69" i="1"/>
  <c r="T72" i="1"/>
  <c r="P72" i="1"/>
  <c r="O72" i="1"/>
  <c r="G72" i="1"/>
  <c r="A72" i="1"/>
  <c r="T70" i="1"/>
  <c r="S70" i="1"/>
  <c r="P70" i="1"/>
  <c r="O70" i="1"/>
  <c r="G70" i="1"/>
  <c r="A70" i="1"/>
  <c r="T53" i="1"/>
  <c r="P53" i="1"/>
  <c r="O53" i="1"/>
  <c r="G53" i="1"/>
  <c r="A53" i="1"/>
  <c r="T62" i="1"/>
  <c r="R62" i="1"/>
  <c r="P62" i="1"/>
  <c r="O62" i="1"/>
  <c r="G62" i="1"/>
  <c r="A62" i="1"/>
  <c r="T4" i="1"/>
  <c r="P4" i="1"/>
  <c r="O4" i="1"/>
  <c r="G4" i="1"/>
  <c r="A4" i="1"/>
  <c r="T61" i="1"/>
  <c r="S61" i="1"/>
  <c r="P61" i="1"/>
  <c r="O61" i="1"/>
  <c r="G61" i="1"/>
  <c r="A61" i="1"/>
  <c r="T32" i="1"/>
  <c r="S32" i="1"/>
  <c r="P32" i="1"/>
  <c r="O32" i="1"/>
  <c r="G32" i="1"/>
  <c r="A32" i="1"/>
  <c r="R27" i="1" l="1"/>
  <c r="R65" i="1"/>
  <c r="R71" i="1"/>
  <c r="R66" i="1"/>
  <c r="R36" i="1"/>
  <c r="R47" i="1"/>
  <c r="R56" i="1"/>
  <c r="R19" i="1"/>
  <c r="R38" i="1"/>
  <c r="R9" i="1"/>
  <c r="S72" i="1"/>
  <c r="S52" i="1"/>
  <c r="S23" i="1"/>
  <c r="S44" i="1"/>
  <c r="R4" i="1"/>
  <c r="R21" i="1"/>
  <c r="R20" i="1"/>
  <c r="R8" i="1"/>
  <c r="R58" i="1"/>
  <c r="R67" i="1"/>
  <c r="R45" i="1"/>
  <c r="R3" i="1"/>
  <c r="R30" i="1"/>
  <c r="R6" i="1"/>
  <c r="R28" i="1"/>
  <c r="R57" i="1"/>
  <c r="R5" i="1"/>
  <c r="R15" i="1"/>
  <c r="R10" i="1"/>
  <c r="R11" i="1"/>
  <c r="R32" i="1"/>
  <c r="R54" i="1"/>
  <c r="R24" i="1"/>
  <c r="R31" i="1"/>
  <c r="R7" i="1"/>
  <c r="S29" i="1"/>
  <c r="R70" i="1"/>
  <c r="R33" i="1"/>
  <c r="R40" i="1"/>
  <c r="R41" i="1"/>
  <c r="R43" i="1"/>
  <c r="R35" i="1"/>
  <c r="R50" i="1"/>
  <c r="S12" i="1"/>
  <c r="R53" i="1"/>
  <c r="R68" i="1"/>
  <c r="R17" i="1"/>
  <c r="R34" i="1"/>
  <c r="R39" i="1"/>
  <c r="R22" i="1"/>
  <c r="R25" i="1"/>
  <c r="R49" i="1"/>
  <c r="R13" i="1"/>
  <c r="R16" i="1"/>
  <c r="R26" i="1"/>
  <c r="S62" i="1"/>
  <c r="R61" i="1"/>
  <c r="R69" i="1"/>
  <c r="R51" i="1"/>
  <c r="R63" i="1"/>
  <c r="R59" i="1"/>
  <c r="R64" i="1"/>
  <c r="R18" i="1"/>
  <c r="R60" i="1"/>
  <c r="R37" i="1"/>
  <c r="R48" i="1"/>
  <c r="R42" i="1"/>
  <c r="R55" i="1"/>
  <c r="R14" i="1"/>
  <c r="R46" i="1"/>
</calcChain>
</file>

<file path=xl/sharedStrings.xml><?xml version="1.0" encoding="utf-8"?>
<sst xmlns="http://schemas.openxmlformats.org/spreadsheetml/2006/main" count="162" uniqueCount="162">
  <si>
    <t xml:space="preserve">کدشعبه </t>
  </si>
  <si>
    <t xml:space="preserve">نام شعبه </t>
  </si>
  <si>
    <t xml:space="preserve">ریالی راکد </t>
  </si>
  <si>
    <t>درصد راکد16 شهریور</t>
  </si>
  <si>
    <t>درصد راکد18 شهریور2</t>
  </si>
  <si>
    <t>درصد  راکد 20 شهریور</t>
  </si>
  <si>
    <t>درصد راکد 24 شهریور</t>
  </si>
  <si>
    <t>درصد راکد 26شهریور</t>
  </si>
  <si>
    <t>درصد راکد1 مهر</t>
  </si>
  <si>
    <t>درصد راکد9 مهر</t>
  </si>
  <si>
    <t>درصد راکد11مهر</t>
  </si>
  <si>
    <t xml:space="preserve">تغییرات </t>
  </si>
  <si>
    <t>سرپرست فروشگاه</t>
  </si>
  <si>
    <t xml:space="preserve">تغییرات تارگتی مورد انتظار </t>
  </si>
  <si>
    <t xml:space="preserve">درصد تحقق </t>
  </si>
  <si>
    <t>OKS02295</t>
  </si>
  <si>
    <t>فروشگاه خرم آباد قاضی آباد دو</t>
  </si>
  <si>
    <t>OKS07701</t>
  </si>
  <si>
    <t>فرانچایز کوهدشت بلوار خلیج فارس</t>
  </si>
  <si>
    <t>OKS10648</t>
  </si>
  <si>
    <t>فرانچایز خرم آباد چهارراه بانک</t>
  </si>
  <si>
    <t>OKS10887</t>
  </si>
  <si>
    <t>فرانچایز خرم آباد باباطاهر</t>
  </si>
  <si>
    <t>OKS08972</t>
  </si>
  <si>
    <t>فرانچایز خرم آباد چهارراه پژوهنده</t>
  </si>
  <si>
    <t>OKS04019</t>
  </si>
  <si>
    <t>فرانچایز خرم آباد فاز دو ناصر خسرو</t>
  </si>
  <si>
    <t>OKS10345</t>
  </si>
  <si>
    <t>فرانچایز دوره چگنی خیابان رهبری</t>
  </si>
  <si>
    <t>OKS10333</t>
  </si>
  <si>
    <t>فرانچایز خرم آباد خیابان دهخدا</t>
  </si>
  <si>
    <t>OKS06697</t>
  </si>
  <si>
    <t>فرانچایز خرم آباد اسدآبادی دو</t>
  </si>
  <si>
    <t>OKS06722</t>
  </si>
  <si>
    <t>فرانچایز خرم آباد ماسور دو</t>
  </si>
  <si>
    <t>OKS08496</t>
  </si>
  <si>
    <t>فروشگاه خرم آباد خیابان علوی</t>
  </si>
  <si>
    <t>OKS02476</t>
  </si>
  <si>
    <t>فرانچایز پلدختر هفت تیر دو</t>
  </si>
  <si>
    <t>OKS08953</t>
  </si>
  <si>
    <t>فرانچایز خرم آباد مهستان</t>
  </si>
  <si>
    <t>OKS10126</t>
  </si>
  <si>
    <t>فرانچایز کوهدشت شهرک امام</t>
  </si>
  <si>
    <t>OKS10962</t>
  </si>
  <si>
    <t>فرانچایز خرم آباد چهارراه ماسور</t>
  </si>
  <si>
    <t>OKS06956</t>
  </si>
  <si>
    <t>فرانچایز پلدختر امام خمینی (ره)</t>
  </si>
  <si>
    <t>OKS10029</t>
  </si>
  <si>
    <t>فرانچایز خرم آباد خیابان فلسطین</t>
  </si>
  <si>
    <t>OKS10682</t>
  </si>
  <si>
    <t>فرانچایز الشتر چهارراه کفش ملی</t>
  </si>
  <si>
    <t>OKS07979</t>
  </si>
  <si>
    <t>فروشگاه خرم آباد دره گرم</t>
  </si>
  <si>
    <t>OKS00019</t>
  </si>
  <si>
    <t>فروشگاه دلفان بهشتی</t>
  </si>
  <si>
    <t>OKS09989</t>
  </si>
  <si>
    <t>فرانچایز الشتر کوی آزادگان</t>
  </si>
  <si>
    <t>OKS11055</t>
  </si>
  <si>
    <t>فرانچایز خرم آباد بلوار بهارستان دو</t>
  </si>
  <si>
    <t>OKS09506</t>
  </si>
  <si>
    <t>فرانچایز معمولان خیابان امام دو</t>
  </si>
  <si>
    <t>OKS11426</t>
  </si>
  <si>
    <t>فرانچایز خرم آباد خیابان شاپوری</t>
  </si>
  <si>
    <t>OKS10680</t>
  </si>
  <si>
    <t>فرانچایز الشتر بلوار شهید کلانتری</t>
  </si>
  <si>
    <t>OKS07381</t>
  </si>
  <si>
    <t>فرانچایز خرم آباد قاضی آباد</t>
  </si>
  <si>
    <t>OKS09812</t>
  </si>
  <si>
    <t>فرانچایز خرم آباد ازنا ایمان آباد</t>
  </si>
  <si>
    <t>OKS02596</t>
  </si>
  <si>
    <t>فرانچایز خرم آباد میدان بیست و دو بهمن</t>
  </si>
  <si>
    <t>OKS07771</t>
  </si>
  <si>
    <t>فرانچایز دلفان برخوردار</t>
  </si>
  <si>
    <t>OKS01576</t>
  </si>
  <si>
    <t>فرانچایز خرم آباد کوی ارتش</t>
  </si>
  <si>
    <t>OKS08239</t>
  </si>
  <si>
    <t>فروشگاه کوهدشت بوعلی</t>
  </si>
  <si>
    <t>OKS07234</t>
  </si>
  <si>
    <t>فرانچایز خرم آباد تلوری دو</t>
  </si>
  <si>
    <t>OKS08818</t>
  </si>
  <si>
    <t>فرانچایز خرم آباد خیابان بزرگمهر</t>
  </si>
  <si>
    <t>OKS09124</t>
  </si>
  <si>
    <t>فرانچایز خرم آباد شهرک حکمت دو</t>
  </si>
  <si>
    <t>OKS08488</t>
  </si>
  <si>
    <t>فروشگاه دلفان خیابان رجایی</t>
  </si>
  <si>
    <t>OKS10077</t>
  </si>
  <si>
    <t>فرانچایز خرم آباد میدان امام دو</t>
  </si>
  <si>
    <t>OKS10650</t>
  </si>
  <si>
    <t>فرانچایز خرم آباد 20متری</t>
  </si>
  <si>
    <t>OKS05372</t>
  </si>
  <si>
    <t>فروشگاه کوهدشت شهبازی</t>
  </si>
  <si>
    <t>OKS00766</t>
  </si>
  <si>
    <t>فروشگاه خرم آباد فردوسی</t>
  </si>
  <si>
    <t>OKS09634</t>
  </si>
  <si>
    <t>فرانچایز خرم آباد 60متری پردیسان</t>
  </si>
  <si>
    <t>OKS09578</t>
  </si>
  <si>
    <t>فرانچایز خرم آباد بازار میدان گپ</t>
  </si>
  <si>
    <t>OKS06765</t>
  </si>
  <si>
    <t>فرانچایز کوهدشت دارایی</t>
  </si>
  <si>
    <t>OKS08755</t>
  </si>
  <si>
    <t>فرانچایز خرم آباد سه راه ناصرخسرو</t>
  </si>
  <si>
    <t>OKS10216</t>
  </si>
  <si>
    <t>فروشگاه کوهدشت باهنر</t>
  </si>
  <si>
    <t>OKS09238</t>
  </si>
  <si>
    <t>فرانچایز خرم آباد شهرک آذربایجان</t>
  </si>
  <si>
    <t>OKS05974</t>
  </si>
  <si>
    <t>فروشگاه دلفان خیابان مدرس</t>
  </si>
  <si>
    <t>OKS07927</t>
  </si>
  <si>
    <t>فروشگاه خرم آباد بابک</t>
  </si>
  <si>
    <t>OKS07487</t>
  </si>
  <si>
    <t>فرانچایز کوهدشت خیابان حسابی</t>
  </si>
  <si>
    <t>OKS01879</t>
  </si>
  <si>
    <t>فرانچایز الشتر آیت الله بروجردی</t>
  </si>
  <si>
    <t>OKS10474</t>
  </si>
  <si>
    <t>فرانچایز خرم آباد دره گرم گلستان</t>
  </si>
  <si>
    <t>OKS09620</t>
  </si>
  <si>
    <t>فرانچایز خرم آباد چهار راه ارم</t>
  </si>
  <si>
    <t>OKS06816</t>
  </si>
  <si>
    <t>فرانچایز خرم آباد چهارباغ دو</t>
  </si>
  <si>
    <t>OKS08113</t>
  </si>
  <si>
    <t>فرانچایز خرم آباد ژاندارمری</t>
  </si>
  <si>
    <t>OKS08192</t>
  </si>
  <si>
    <t>فرانچایز کوهدشت ساحلی</t>
  </si>
  <si>
    <t>OKS00634</t>
  </si>
  <si>
    <t>فروشگاه کوهدشت مالک اشتر</t>
  </si>
  <si>
    <t>OKS01297</t>
  </si>
  <si>
    <t>فرانچایز رومشکان</t>
  </si>
  <si>
    <t>OKS07054</t>
  </si>
  <si>
    <t>فروشگاه الشتر شهرداری</t>
  </si>
  <si>
    <t>OKS08930</t>
  </si>
  <si>
    <t>فرانچایز دلفان میدان بسیج</t>
  </si>
  <si>
    <t>OKS09154</t>
  </si>
  <si>
    <t>فرانچایز خرم آباد دره گرم بوستان</t>
  </si>
  <si>
    <t>OKS09644</t>
  </si>
  <si>
    <t>فرانچایز خرم آباد خاتم الانبیا دو</t>
  </si>
  <si>
    <t>OKS07958</t>
  </si>
  <si>
    <t>فرانچایز کوهدشت کوهنانی</t>
  </si>
  <si>
    <t>OKS11125</t>
  </si>
  <si>
    <t>فرانچایز خرم آباد میدان کیو دو</t>
  </si>
  <si>
    <t>OKS09122</t>
  </si>
  <si>
    <t>فرانچایز کوهدشت میدان 22بهمن</t>
  </si>
  <si>
    <t>OKS07363</t>
  </si>
  <si>
    <t>فرانچایز خرم آباد خیابان ساحلی</t>
  </si>
  <si>
    <t>oks10336</t>
  </si>
  <si>
    <t>فرانچایز پلدختر چهارراه جهاد</t>
  </si>
  <si>
    <t>OKS10385</t>
  </si>
  <si>
    <t>فرانچایز خرم آباد گلدشت تامین اجتماعی دو</t>
  </si>
  <si>
    <t>OKS10444</t>
  </si>
  <si>
    <t>فرانچایز ویسیان بلوار ولیعصر</t>
  </si>
  <si>
    <t>OKS10640</t>
  </si>
  <si>
    <t>فرانچایز پلدختر کوی بسیجیان</t>
  </si>
  <si>
    <t>OKS04382</t>
  </si>
  <si>
    <t>فروشگاه خرم آباد بلوار شصت متری</t>
  </si>
  <si>
    <t>OKS00683</t>
  </si>
  <si>
    <t>فروشگاه خرم آباد ولیعصر</t>
  </si>
  <si>
    <t>OKS05752</t>
  </si>
  <si>
    <t>فرانچایز خرم آباد گلدشت غربی دو</t>
  </si>
  <si>
    <t>درصد راکد15مهر</t>
  </si>
  <si>
    <t>سوپروایزر</t>
  </si>
  <si>
    <t>درصد راکد13مهر</t>
  </si>
  <si>
    <t>تغییرات  از1 تا 15</t>
  </si>
  <si>
    <t>تارگت22 مهر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</si>
</sst>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_(* #,##0_);_(* \(#,##0\);_(* &quot;-&quot;??_);_(@_)"/>
  </numFmts>
  <fonts count="8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 tint="4.9989318521683403E-2"/>
      <name val="Calibri"/>
      <family val="2"/>
    </font>
    <font>
      <b/>
      <sz val="11"/>
      <color rgb="FFC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1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2" applyFont="1" applyBorder="1" applyAlignment="1">
      <alignment horizontal="center" vertical="center"/>
    </xf>
    <xf numFmtId="0" fontId="5" fillId="0" borderId="2" xfId="2" applyFont="1" applyBorder="1" applyAlignment="1">
      <alignment horizontal="center" vertical="center" wrapText="1" readingOrder="2"/>
    </xf>
    <xf numFmtId="0" fontId="5" fillId="2" borderId="2" xfId="2" applyFont="1" applyFill="1" applyBorder="1" applyAlignment="1">
      <alignment horizontal="center" vertical="center" wrapText="1" readingOrder="2"/>
    </xf>
    <xf numFmtId="0" fontId="5" fillId="0" borderId="2" xfId="2" applyFont="1" applyBorder="1" applyAlignment="1">
      <alignment horizontal="center" vertical="center" wrapText="1"/>
    </xf>
    <xf numFmtId="164" fontId="6" fillId="2" borderId="3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 vertical="center"/>
    </xf>
    <xf numFmtId="10" fontId="2" fillId="0" borderId="5" xfId="2" applyNumberFormat="1" applyFont="1" applyBorder="1" applyAlignment="1">
      <alignment horizontal="center" vertical="center"/>
    </xf>
    <xf numFmtId="10" fontId="2" fillId="2" borderId="5" xfId="2" applyNumberFormat="1" applyFont="1" applyFill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164" fontId="7" fillId="0" borderId="6" xfId="1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0" fontId="2" fillId="0" borderId="2" xfId="2" applyNumberFormat="1" applyFont="1" applyBorder="1" applyAlignment="1">
      <alignment horizontal="center" vertical="center"/>
    </xf>
    <xf numFmtId="10" fontId="2" fillId="0" borderId="7" xfId="2" applyNumberFormat="1" applyFont="1" applyBorder="1" applyAlignment="1">
      <alignment horizontal="center" vertical="center"/>
    </xf>
  </cellXfs>
  <cellStyles count="3">
    <cellStyle name="Normal" xfId="0" builtinId="0"/>
    <cellStyle name="Normal 2" xfId="2" xr:uid="{AF461E85-4E73-450A-90C7-4435B8B1115C}"/>
    <cellStyle name="Percent" xfId="1" builtinId="5"/>
  </cellStyles>
  <dxfs count="4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C0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font>
        <b/>
      </font>
      <numFmt numFmtId="164" formatCode="0.0%"/>
      <fill>
        <patternFill patternType="none">
          <bgColor auto="1"/>
        </patternFill>
      </fill>
      <alignment horizontal="center" vertical="center" textRotation="0" indent="0" justifyLastLine="0" shrinkToFit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_(* #,##0_);_(* \(#,##0\);_(* &quot;-&quot;??_);_(@_)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_(* #,##0_);_(* \(#,##0\);_(* &quot;-&quot;??_);_(@_)"/>
      <fill>
        <patternFill patternType="none">
          <fgColor theme="4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4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</font>
      <numFmt numFmtId="0" formatCode="General"/>
      <fill>
        <patternFill patternType="none">
          <bgColor auto="1"/>
        </patternFill>
      </fill>
      <alignment horizontal="center" vertic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</font>
      <numFmt numFmtId="0" formatCode="General"/>
      <fill>
        <patternFill patternType="none">
          <bgColor auto="1"/>
        </patternFill>
      </fill>
      <alignment horizontal="center" vertical="center" textRotation="0" indent="0" justifyLastLine="0" shrinkToFit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ont>
        <b/>
      </font>
      <fill>
        <patternFill patternType="none">
          <bgColor auto="1"/>
        </patternFill>
      </fill>
      <alignment horizontal="center" vertic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fill>
        <patternFill patternType="none">
          <bgColor auto="1"/>
        </patternFill>
      </fill>
      <alignment horizontal="center" vertical="center" textRotation="0" indent="0" justifyLastLine="0" shrinkToFit="0"/>
    </dxf>
    <dxf>
      <border>
        <bottom style="thin">
          <color indexed="64"/>
        </bottom>
      </border>
    </dxf>
    <dxf>
      <font>
        <b/>
      </font>
      <fill>
        <patternFill patternType="none">
          <bgColor auto="1"/>
        </patternFill>
      </fill>
      <alignment horizontal="center" vertic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ahin\Desktop\kalaraked\projraked_backup_20261008_233629.xlsx" TargetMode="External"/><Relationship Id="rId1" Type="http://schemas.openxmlformats.org/officeDocument/2006/relationships/externalLinkPath" Target="projraked_backup_20261008_23362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60 روزه"/>
      <sheetName val="pq45"/>
      <sheetName val="pq60"/>
      <sheetName val="tbl60 "/>
      <sheetName val="tbl45"/>
      <sheetName val="tblSales"/>
      <sheetName val="خروجی"/>
      <sheetName val="پیوت خروجی"/>
      <sheetName val="تارگت"/>
      <sheetName val="pivot"/>
      <sheetName val="دیتا"/>
      <sheetName val="دیتا کلی شعب"/>
      <sheetName val="projraked_backup_20261008_23362"/>
    </sheetNames>
    <sheetDataSet>
      <sheetData sheetId="0">
        <row r="3">
          <cell r="A3" t="str">
            <v>PersianDate</v>
          </cell>
        </row>
        <row r="4">
          <cell r="A4" t="str">
            <v>Flag60.Falg ID</v>
          </cell>
        </row>
        <row r="5">
          <cell r="A5" t="str">
            <v>Flag45.Falg ID</v>
          </cell>
        </row>
        <row r="6">
          <cell r="A6" t="str">
            <v>Flag30.Falg ID</v>
          </cell>
        </row>
        <row r="7">
          <cell r="A7" t="str">
            <v>District</v>
          </cell>
        </row>
        <row r="8">
          <cell r="A8" t="str">
            <v>Level3</v>
          </cell>
        </row>
        <row r="9">
          <cell r="A9" t="str">
            <v>ItemId</v>
          </cell>
        </row>
        <row r="10">
          <cell r="A10" t="str">
            <v>Name</v>
          </cell>
        </row>
        <row r="12">
          <cell r="A12" t="str">
            <v xml:space="preserve">کد شعبه </v>
          </cell>
          <cell r="E12" t="str">
            <v xml:space="preserve">نسبت موجودی اقلام راکد به نسبت موجودی فروشگاه </v>
          </cell>
        </row>
        <row r="13">
          <cell r="A13" t="str">
            <v>OKS11426</v>
          </cell>
          <cell r="E13">
            <v>3.51538970144896E-2</v>
          </cell>
        </row>
        <row r="14">
          <cell r="A14" t="str">
            <v>OKS11125</v>
          </cell>
          <cell r="E14">
            <v>2.1860251550874395E-2</v>
          </cell>
        </row>
        <row r="15">
          <cell r="A15" t="str">
            <v>OKS11055</v>
          </cell>
          <cell r="E15">
            <v>3.9337474432601091E-2</v>
          </cell>
        </row>
        <row r="16">
          <cell r="A16" t="str">
            <v>OKS10962</v>
          </cell>
          <cell r="E16">
            <v>2.2224868947061438E-2</v>
          </cell>
        </row>
        <row r="17">
          <cell r="A17" t="str">
            <v>OKS10887</v>
          </cell>
          <cell r="E17">
            <v>2.5075157355379463E-2</v>
          </cell>
        </row>
        <row r="18">
          <cell r="A18" t="str">
            <v>OKS10682</v>
          </cell>
          <cell r="E18">
            <v>8.9414735898216163E-2</v>
          </cell>
        </row>
        <row r="19">
          <cell r="A19" t="str">
            <v>OKS10680</v>
          </cell>
          <cell r="E19">
            <v>6.1833387557852448E-2</v>
          </cell>
        </row>
        <row r="20">
          <cell r="A20" t="str">
            <v>OKS10650</v>
          </cell>
          <cell r="E20">
            <v>3.7366441747395486E-2</v>
          </cell>
        </row>
        <row r="21">
          <cell r="A21" t="str">
            <v>OKS10648</v>
          </cell>
          <cell r="E21">
            <v>1.381904894058204E-2</v>
          </cell>
        </row>
        <row r="22">
          <cell r="A22" t="str">
            <v>OKS10640</v>
          </cell>
          <cell r="E22">
            <v>3.2503260582758785E-2</v>
          </cell>
        </row>
        <row r="23">
          <cell r="A23" t="str">
            <v>OKS10474</v>
          </cell>
          <cell r="E23">
            <v>8.0916197739795956E-2</v>
          </cell>
        </row>
        <row r="24">
          <cell r="A24" t="str">
            <v>OKS10444</v>
          </cell>
          <cell r="E24">
            <v>1.5644140159389319E-2</v>
          </cell>
        </row>
        <row r="25">
          <cell r="A25" t="str">
            <v>OKS10385</v>
          </cell>
          <cell r="E25">
            <v>5.7967569921524281E-3</v>
          </cell>
        </row>
        <row r="26">
          <cell r="A26" t="str">
            <v>OKS10345</v>
          </cell>
          <cell r="E26">
            <v>2.5770866762288621E-3</v>
          </cell>
        </row>
        <row r="27">
          <cell r="A27" t="str">
            <v>OKS10336</v>
          </cell>
          <cell r="E27">
            <v>2.0558405557724903E-2</v>
          </cell>
        </row>
        <row r="28">
          <cell r="A28" t="str">
            <v>OKS10333</v>
          </cell>
          <cell r="E28">
            <v>1.2050414958271681E-2</v>
          </cell>
        </row>
        <row r="29">
          <cell r="A29" t="str">
            <v>OKS10216</v>
          </cell>
          <cell r="E29">
            <v>1.1006352736173289E-2</v>
          </cell>
        </row>
        <row r="30">
          <cell r="A30" t="str">
            <v>OKS10126</v>
          </cell>
          <cell r="E30">
            <v>2.2650941301842569E-2</v>
          </cell>
        </row>
        <row r="31">
          <cell r="A31" t="str">
            <v>OKS10077</v>
          </cell>
          <cell r="E31">
            <v>3.3252233278859074E-2</v>
          </cell>
        </row>
        <row r="32">
          <cell r="A32" t="str">
            <v>OKS10029</v>
          </cell>
          <cell r="E32">
            <v>3.7903594537086659E-2</v>
          </cell>
        </row>
        <row r="33">
          <cell r="A33" t="str">
            <v>OKS09989</v>
          </cell>
          <cell r="E33">
            <v>3.3406204477624629E-2</v>
          </cell>
        </row>
        <row r="34">
          <cell r="A34" t="str">
            <v>OKS09812</v>
          </cell>
          <cell r="E34">
            <v>1.3457073686006462E-2</v>
          </cell>
        </row>
        <row r="35">
          <cell r="A35" t="str">
            <v>OKS09644</v>
          </cell>
          <cell r="E35">
            <v>2.511555600564366E-2</v>
          </cell>
        </row>
        <row r="36">
          <cell r="A36" t="str">
            <v>OKS09634</v>
          </cell>
          <cell r="E36">
            <v>2.6820325786517853E-2</v>
          </cell>
        </row>
        <row r="37">
          <cell r="A37" t="str">
            <v>OKS09620</v>
          </cell>
          <cell r="E37">
            <v>2.1447606146059214E-2</v>
          </cell>
        </row>
        <row r="38">
          <cell r="A38" t="str">
            <v>OKS09578</v>
          </cell>
          <cell r="E38">
            <v>4.9114904248703024E-2</v>
          </cell>
        </row>
        <row r="39">
          <cell r="A39" t="str">
            <v>OKS09506</v>
          </cell>
          <cell r="E39">
            <v>1.0939520667806575E-2</v>
          </cell>
        </row>
        <row r="40">
          <cell r="A40" t="str">
            <v>OKS09238</v>
          </cell>
          <cell r="E40">
            <v>5.333443906841822E-2</v>
          </cell>
        </row>
        <row r="41">
          <cell r="A41" t="str">
            <v>OKS09154</v>
          </cell>
          <cell r="E41">
            <v>2.3875435711186586E-2</v>
          </cell>
        </row>
        <row r="42">
          <cell r="A42" t="str">
            <v>OKS09124</v>
          </cell>
          <cell r="E42">
            <v>2.4295434279698304E-2</v>
          </cell>
        </row>
        <row r="43">
          <cell r="A43" t="str">
            <v>OKS09122</v>
          </cell>
          <cell r="E43">
            <v>4.5550269412656066E-2</v>
          </cell>
        </row>
        <row r="44">
          <cell r="A44" t="str">
            <v>OKS08972</v>
          </cell>
          <cell r="E44">
            <v>7.6778434044288881E-3</v>
          </cell>
        </row>
        <row r="45">
          <cell r="A45" t="str">
            <v>OKS08953</v>
          </cell>
          <cell r="E45">
            <v>1.4957879106522484E-2</v>
          </cell>
        </row>
        <row r="46">
          <cell r="A46" t="str">
            <v>OKS08930</v>
          </cell>
          <cell r="E46">
            <v>5.4896504756150065E-2</v>
          </cell>
        </row>
        <row r="47">
          <cell r="A47" t="str">
            <v>OKS08818</v>
          </cell>
          <cell r="E47">
            <v>9.274418367653612E-3</v>
          </cell>
        </row>
        <row r="48">
          <cell r="A48" t="str">
            <v>OKS08755</v>
          </cell>
          <cell r="E48">
            <v>4.3906359796488631E-2</v>
          </cell>
        </row>
        <row r="49">
          <cell r="A49" t="str">
            <v>OKS08496</v>
          </cell>
          <cell r="E49">
            <v>5.63757884815436E-3</v>
          </cell>
        </row>
        <row r="50">
          <cell r="A50" t="str">
            <v>OKS08488</v>
          </cell>
          <cell r="E50">
            <v>2.6001077007008263E-2</v>
          </cell>
        </row>
        <row r="51">
          <cell r="A51" t="str">
            <v>OKS08239</v>
          </cell>
          <cell r="E51">
            <v>3.7794699795367599E-2</v>
          </cell>
        </row>
        <row r="52">
          <cell r="A52" t="str">
            <v>OKS08192</v>
          </cell>
          <cell r="E52">
            <v>4.3466493800161004E-3</v>
          </cell>
        </row>
        <row r="53">
          <cell r="A53" t="str">
            <v>OKS08113</v>
          </cell>
          <cell r="E53">
            <v>1.494137483137326E-2</v>
          </cell>
        </row>
        <row r="54">
          <cell r="A54" t="str">
            <v>OKS07979</v>
          </cell>
          <cell r="E54">
            <v>2.4203918200186053E-2</v>
          </cell>
        </row>
        <row r="55">
          <cell r="A55" t="str">
            <v>OKS07958</v>
          </cell>
          <cell r="E55">
            <v>2.3735332140098847E-2</v>
          </cell>
        </row>
        <row r="56">
          <cell r="A56" t="str">
            <v>OKS07927</v>
          </cell>
          <cell r="E56">
            <v>7.286455992442745E-3</v>
          </cell>
        </row>
        <row r="57">
          <cell r="A57" t="str">
            <v>OKS07771</v>
          </cell>
          <cell r="E57">
            <v>2.4464671331449989E-2</v>
          </cell>
        </row>
        <row r="58">
          <cell r="A58" t="str">
            <v>OKS07701</v>
          </cell>
          <cell r="E58">
            <v>1.3622944142512399E-2</v>
          </cell>
        </row>
        <row r="59">
          <cell r="A59" t="str">
            <v>OKS07487</v>
          </cell>
          <cell r="E59">
            <v>5.761983585520216E-2</v>
          </cell>
        </row>
        <row r="60">
          <cell r="A60" t="str">
            <v>OKS07381</v>
          </cell>
          <cell r="E60">
            <v>2.4000048661344409E-2</v>
          </cell>
        </row>
        <row r="61">
          <cell r="A61" t="str">
            <v>OKS07363</v>
          </cell>
          <cell r="E61">
            <v>6.4913166412891759E-3</v>
          </cell>
        </row>
        <row r="62">
          <cell r="A62" t="str">
            <v>OKS07234</v>
          </cell>
          <cell r="E62">
            <v>2.5939004444274074E-2</v>
          </cell>
        </row>
        <row r="63">
          <cell r="A63" t="str">
            <v>OKS07054</v>
          </cell>
          <cell r="E63">
            <v>1.3615311508739056E-2</v>
          </cell>
        </row>
        <row r="64">
          <cell r="A64" t="str">
            <v>OKS06956</v>
          </cell>
          <cell r="E64">
            <v>3.3655936968909284E-2</v>
          </cell>
        </row>
        <row r="65">
          <cell r="A65" t="str">
            <v>OKS06816</v>
          </cell>
          <cell r="E65">
            <v>4.9111326982029706E-3</v>
          </cell>
        </row>
        <row r="66">
          <cell r="A66" t="str">
            <v>OKS06765</v>
          </cell>
          <cell r="E66">
            <v>2.916244998672066E-2</v>
          </cell>
        </row>
        <row r="67">
          <cell r="A67" t="str">
            <v>OKS06722</v>
          </cell>
          <cell r="E67">
            <v>7.9436124173153395E-3</v>
          </cell>
        </row>
        <row r="68">
          <cell r="A68" t="str">
            <v>OKS06697</v>
          </cell>
          <cell r="E68">
            <v>7.7930201495586653E-3</v>
          </cell>
        </row>
        <row r="69">
          <cell r="A69" t="str">
            <v>OKS05974</v>
          </cell>
          <cell r="E69">
            <v>1.1997757342237032E-2</v>
          </cell>
        </row>
        <row r="70">
          <cell r="A70" t="str">
            <v>OKS05752</v>
          </cell>
          <cell r="E70">
            <v>6.7481308574364306E-3</v>
          </cell>
        </row>
        <row r="71">
          <cell r="A71" t="str">
            <v>OKS05372</v>
          </cell>
          <cell r="E71">
            <v>2.118583922117781E-2</v>
          </cell>
        </row>
        <row r="72">
          <cell r="A72" t="str">
            <v>OKS04382</v>
          </cell>
          <cell r="E72">
            <v>4.267098491832214E-4</v>
          </cell>
        </row>
        <row r="73">
          <cell r="A73" t="str">
            <v>OKS04019</v>
          </cell>
          <cell r="E73">
            <v>2.7936050101673863E-3</v>
          </cell>
        </row>
        <row r="74">
          <cell r="A74" t="str">
            <v>OKS02596</v>
          </cell>
          <cell r="E74">
            <v>1.2288544924329063E-2</v>
          </cell>
        </row>
        <row r="75">
          <cell r="A75" t="str">
            <v>OKS02476</v>
          </cell>
          <cell r="E75">
            <v>5.9926222457833177E-3</v>
          </cell>
        </row>
        <row r="76">
          <cell r="A76" t="str">
            <v>OKS02295</v>
          </cell>
          <cell r="E76">
            <v>5.3317974683666841E-3</v>
          </cell>
        </row>
        <row r="77">
          <cell r="A77" t="str">
            <v>OKS01879</v>
          </cell>
          <cell r="E77">
            <v>2.2961610580627179E-2</v>
          </cell>
        </row>
        <row r="78">
          <cell r="A78" t="str">
            <v>OKS01576</v>
          </cell>
          <cell r="E78">
            <v>9.7590939520243222E-3</v>
          </cell>
        </row>
        <row r="79">
          <cell r="A79" t="str">
            <v>OKS01297</v>
          </cell>
          <cell r="E79">
            <v>1.4786596545006997E-2</v>
          </cell>
        </row>
        <row r="80">
          <cell r="A80" t="str">
            <v>OKS00766</v>
          </cell>
          <cell r="E80">
            <v>4.525527762670639E-3</v>
          </cell>
        </row>
        <row r="81">
          <cell r="A81" t="str">
            <v>OKS00683</v>
          </cell>
          <cell r="E81">
            <v>5.3145080280799367E-3</v>
          </cell>
        </row>
        <row r="82">
          <cell r="A82" t="str">
            <v>OKS00634</v>
          </cell>
          <cell r="E82">
            <v>4.597831253235457E-3</v>
          </cell>
        </row>
        <row r="83">
          <cell r="A83" t="str">
            <v>OKS00019</v>
          </cell>
          <cell r="E83">
            <v>6.7223505199324697E-3</v>
          </cell>
        </row>
        <row r="84">
          <cell r="A84" t="str">
            <v>Grand Total</v>
          </cell>
          <cell r="E84">
            <v>2.1712439063373487E-2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E1" t="str">
            <v>فروشگاه</v>
          </cell>
          <cell r="F1" t="str">
            <v>Column1</v>
          </cell>
          <cell r="G1" t="str">
            <v>سوپروایزر/معین</v>
          </cell>
        </row>
        <row r="2">
          <cell r="E2" t="str">
            <v>فرانچایز دلفان میدان بسیج</v>
          </cell>
          <cell r="F2" t="str">
            <v xml:space="preserve">آرمین حقانی </v>
          </cell>
          <cell r="G2" t="str">
            <v xml:space="preserve">میثم جلالوند </v>
          </cell>
        </row>
        <row r="3">
          <cell r="E3" t="str">
            <v>فروشگاه دلفان خیابان رجایی</v>
          </cell>
          <cell r="F3" t="str">
            <v>سعید ذوالفقاری شریفی</v>
          </cell>
          <cell r="G3" t="str">
            <v xml:space="preserve">میثم جلالوند </v>
          </cell>
        </row>
        <row r="4">
          <cell r="E4" t="str">
            <v>فرانچایز دلفان برخوردار</v>
          </cell>
          <cell r="F4" t="str">
            <v>امین سهرابی</v>
          </cell>
          <cell r="G4" t="str">
            <v xml:space="preserve">میثم جلالوند </v>
          </cell>
        </row>
        <row r="5">
          <cell r="E5" t="str">
            <v>فروشگاه دلفان خیابان مدرس</v>
          </cell>
          <cell r="F5" t="str">
            <v>زهرا جعفری مفرد</v>
          </cell>
          <cell r="G5" t="str">
            <v xml:space="preserve">میثم جلالوند </v>
          </cell>
        </row>
        <row r="6">
          <cell r="E6" t="str">
            <v>فروشگاه دلفان بهشتی</v>
          </cell>
          <cell r="F6" t="str">
            <v>رضا خزائی</v>
          </cell>
          <cell r="G6" t="str">
            <v xml:space="preserve">میثم جلالوند </v>
          </cell>
        </row>
        <row r="7">
          <cell r="E7" t="str">
            <v>فرانچایز خرم آباد چهارراه بانک</v>
          </cell>
          <cell r="F7" t="str">
            <v>مینا باقری فرد</v>
          </cell>
          <cell r="G7" t="str">
            <v>مصطفی سیفی</v>
          </cell>
        </row>
        <row r="8">
          <cell r="E8" t="str">
            <v>فرانچایز خرم آباد بازار میدان گپ</v>
          </cell>
          <cell r="F8" t="str">
            <v>حسین جمالی فرد</v>
          </cell>
          <cell r="G8" t="str">
            <v>مصطفی سیفی</v>
          </cell>
        </row>
        <row r="9">
          <cell r="E9" t="str">
            <v>فرانچایز خرم آباد خیابان بزرگمهر</v>
          </cell>
          <cell r="F9" t="str">
            <v>یحیی داشادی</v>
          </cell>
          <cell r="G9" t="str">
            <v>مصطفی سیفی</v>
          </cell>
        </row>
        <row r="10">
          <cell r="E10" t="str">
            <v>فرانچایز خرم آباد سه راه ناصرخسرو</v>
          </cell>
          <cell r="F10" t="str">
            <v>علیرضا موسی زاده</v>
          </cell>
          <cell r="G10" t="str">
            <v>مصطفی سیفی</v>
          </cell>
        </row>
        <row r="11">
          <cell r="E11" t="str">
            <v>فرانچایز خرم آباد قاضی آباد</v>
          </cell>
          <cell r="F11" t="str">
            <v>مهدی محبی راد</v>
          </cell>
          <cell r="G11" t="str">
            <v>مصطفی سیفی</v>
          </cell>
        </row>
        <row r="12">
          <cell r="E12" t="str">
            <v>فروشگاه خرم آباد قاضی آباد دو</v>
          </cell>
          <cell r="F12" t="str">
            <v>وحید بشارتی منش</v>
          </cell>
          <cell r="G12" t="str">
            <v>مصطفی سیفی</v>
          </cell>
        </row>
        <row r="13">
          <cell r="E13" t="str">
            <v>فرانچایز خرم آباد ازنا ایمان آباد</v>
          </cell>
          <cell r="F13" t="str">
            <v xml:space="preserve">فرشته خسروی </v>
          </cell>
          <cell r="G13" t="str">
            <v>مصطفی سیفی</v>
          </cell>
        </row>
        <row r="14">
          <cell r="E14" t="str">
            <v>فرانچایز خرم آباد 20متری</v>
          </cell>
          <cell r="F14" t="str">
            <v>مهتاب تقی پور</v>
          </cell>
          <cell r="G14" t="str">
            <v>مرتضی رضایی</v>
          </cell>
        </row>
        <row r="15">
          <cell r="E15" t="str">
            <v>فرانچایز خرم آباد خیابان دهخدا</v>
          </cell>
          <cell r="F15" t="str">
            <v>فاطمه هاشمی</v>
          </cell>
          <cell r="G15" t="str">
            <v>مرتضی رضایی</v>
          </cell>
        </row>
        <row r="16">
          <cell r="E16" t="str">
            <v>فرانچایز خرم آباد خاتم الانبیا دو</v>
          </cell>
          <cell r="F16" t="str">
            <v>حسین آزادی</v>
          </cell>
          <cell r="G16" t="str">
            <v>مرتضی رضایی</v>
          </cell>
        </row>
        <row r="17">
          <cell r="E17" t="str">
            <v>فرانچایز خرم آباد 60متری پردیسان</v>
          </cell>
          <cell r="F17" t="str">
            <v>آيدا احمدي چگني</v>
          </cell>
          <cell r="G17" t="str">
            <v>مرتضی رضایی</v>
          </cell>
        </row>
        <row r="18">
          <cell r="E18" t="str">
            <v>فرانچایز خرم آباد چهارراه پژوهنده</v>
          </cell>
          <cell r="F18" t="str">
            <v>علی رضایی</v>
          </cell>
          <cell r="G18" t="str">
            <v>مرتضی رضایی</v>
          </cell>
        </row>
        <row r="19">
          <cell r="E19" t="str">
            <v>فرانچایز خرم آباد فاز دو ناصر خسرو</v>
          </cell>
          <cell r="F19" t="str">
            <v>رضا زینی وند</v>
          </cell>
          <cell r="G19" t="str">
            <v>مرتضی رضایی</v>
          </cell>
        </row>
        <row r="20">
          <cell r="E20" t="str">
            <v>فرانچایز خرم آباد کوی ارتش</v>
          </cell>
          <cell r="F20" t="str">
            <v>علي ترکاشوند</v>
          </cell>
          <cell r="G20" t="str">
            <v>مرتضی رضایی</v>
          </cell>
        </row>
        <row r="21">
          <cell r="E21" t="str">
            <v>فرانچایز خرم آباد دره گرم گلستان</v>
          </cell>
          <cell r="F21" t="str">
            <v>حسین نوری</v>
          </cell>
          <cell r="G21" t="str">
            <v>محمد کاظم بستامی</v>
          </cell>
        </row>
        <row r="22">
          <cell r="E22" t="str">
            <v>فرانچایز خرم آباد شهرک آذربایجان</v>
          </cell>
          <cell r="F22" t="str">
            <v>فاطمه حاجری</v>
          </cell>
          <cell r="G22" t="str">
            <v>محمد کاظم بستامی</v>
          </cell>
        </row>
        <row r="23">
          <cell r="E23" t="str">
            <v>فرانچایز خرم آباد دره گرم بوستان</v>
          </cell>
          <cell r="F23" t="str">
            <v>امین حسنوند</v>
          </cell>
          <cell r="G23" t="str">
            <v>محمد کاظم بستامی</v>
          </cell>
        </row>
        <row r="24">
          <cell r="E24" t="str">
            <v>فرانچایز خرم آباد مهستان</v>
          </cell>
          <cell r="F24" t="str">
            <v>محدثه کریم زاده</v>
          </cell>
          <cell r="G24" t="str">
            <v>محمد کاظم بستامی</v>
          </cell>
        </row>
        <row r="25">
          <cell r="E25" t="str">
            <v>فروشگاه خرم آباد بابک</v>
          </cell>
          <cell r="F25" t="str">
            <v>وحید جودکی</v>
          </cell>
          <cell r="G25" t="str">
            <v>محمد کاظم بستامی</v>
          </cell>
        </row>
        <row r="26">
          <cell r="E26" t="str">
            <v>فرانچایز خرم آباد اسدآبادی دو</v>
          </cell>
          <cell r="F26" t="str">
            <v>سعید سام پور</v>
          </cell>
          <cell r="G26" t="str">
            <v>محمد کاظم بستامی</v>
          </cell>
        </row>
        <row r="27">
          <cell r="E27" t="str">
            <v>فرانچایز خرم آباد میدان بیست و دو بهمن</v>
          </cell>
          <cell r="F27" t="str">
            <v>فرهاد کردعلیوند</v>
          </cell>
          <cell r="G27" t="str">
            <v>محمد کاظم بستامی</v>
          </cell>
        </row>
        <row r="28">
          <cell r="E28" t="str">
            <v>فرانچایز خرم آباد خیابان شاپوری</v>
          </cell>
          <cell r="F28" t="str">
            <v>فاطمه نصرت پور</v>
          </cell>
          <cell r="G28" t="str">
            <v>محمد شاکری</v>
          </cell>
        </row>
        <row r="29">
          <cell r="E29" t="str">
            <v>فرانچایز خرم آباد بلوار بهارستان دو</v>
          </cell>
          <cell r="F29" t="str">
            <v xml:space="preserve">زینب بیرانوندی </v>
          </cell>
          <cell r="G29" t="str">
            <v>محمد شاکری</v>
          </cell>
        </row>
        <row r="30">
          <cell r="E30" t="str">
            <v>فرانچایز خرم آباد باباطاهر</v>
          </cell>
          <cell r="F30" t="str">
            <v>مجید هاشمی فر</v>
          </cell>
          <cell r="G30" t="str">
            <v>محمد شاکری</v>
          </cell>
        </row>
        <row r="31">
          <cell r="E31" t="str">
            <v>فرانچایز خرم آباد گلدشت تامین اجتماعی دو</v>
          </cell>
          <cell r="F31" t="str">
            <v>علی رضا مرادی</v>
          </cell>
          <cell r="G31" t="str">
            <v>محمد شاکری</v>
          </cell>
        </row>
        <row r="32">
          <cell r="E32" t="str">
            <v>فرانچایز خرم آباد خیابان فلسطین</v>
          </cell>
          <cell r="F32" t="str">
            <v>زینب کشاورز</v>
          </cell>
          <cell r="G32" t="str">
            <v>محمد شاکری</v>
          </cell>
        </row>
        <row r="33">
          <cell r="E33" t="str">
            <v>فرانچایز خرم آباد چهار راه ارم</v>
          </cell>
          <cell r="F33" t="str">
            <v>رضا محمودوندی</v>
          </cell>
          <cell r="G33" t="str">
            <v>محمد شاکری</v>
          </cell>
        </row>
        <row r="34">
          <cell r="E34" t="str">
            <v>فرانچایز خرم آباد چهارباغ دو</v>
          </cell>
          <cell r="F34" t="str">
            <v>فاطمه محمدی فر</v>
          </cell>
          <cell r="G34" t="str">
            <v>محمد شاکری</v>
          </cell>
        </row>
        <row r="35">
          <cell r="E35" t="str">
            <v>فرانچایز خرم آباد گلدشت غربی دو</v>
          </cell>
          <cell r="F35" t="str">
            <v>سيده فتانه قاسمي</v>
          </cell>
          <cell r="G35" t="str">
            <v>محمد شاکری</v>
          </cell>
        </row>
        <row r="36">
          <cell r="E36" t="str">
            <v>فروشگاه خرم آباد دره گرم</v>
          </cell>
          <cell r="F36" t="str">
            <v>امین مرادی چگنی</v>
          </cell>
          <cell r="G36" t="str">
            <v>محسن ملکی</v>
          </cell>
        </row>
        <row r="37">
          <cell r="E37" t="str">
            <v>فرانچایز الشتر چهارراه کفش ملی</v>
          </cell>
          <cell r="F37" t="str">
            <v>سمیه شریفی</v>
          </cell>
          <cell r="G37" t="str">
            <v>محسن ملکی</v>
          </cell>
        </row>
        <row r="38">
          <cell r="E38" t="str">
            <v>فرانچایز الشتر بلوار شهید کلانتری</v>
          </cell>
          <cell r="F38" t="str">
            <v>رضا حسنوند</v>
          </cell>
          <cell r="G38" t="str">
            <v>محسن ملکی</v>
          </cell>
        </row>
        <row r="39">
          <cell r="E39" t="str">
            <v>فرانچایز الشتر کوی آزادگان</v>
          </cell>
          <cell r="F39" t="str">
            <v>فتانه حسنوند</v>
          </cell>
          <cell r="G39" t="str">
            <v>محسن ملکی</v>
          </cell>
        </row>
        <row r="40">
          <cell r="E40" t="str">
            <v>فروشگاه الشتر شهرداری</v>
          </cell>
          <cell r="F40" t="str">
            <v>محسن حسنوند</v>
          </cell>
          <cell r="G40" t="str">
            <v>محسن ملکی</v>
          </cell>
        </row>
        <row r="41">
          <cell r="E41" t="str">
            <v>فرانچایز الشتر آیت الله بروجردی</v>
          </cell>
          <cell r="F41" t="str">
            <v>صبا حسنوند</v>
          </cell>
          <cell r="G41" t="str">
            <v>محسن ملکی</v>
          </cell>
        </row>
        <row r="42">
          <cell r="E42" t="str">
            <v>فروشگاه کوهدشت باهنر</v>
          </cell>
          <cell r="F42" t="str">
            <v>حسين هاشمي فرد</v>
          </cell>
          <cell r="G42" t="str">
            <v xml:space="preserve">فیاض رحیم زاده </v>
          </cell>
        </row>
        <row r="43">
          <cell r="E43" t="str">
            <v>فرانچایز کوهدشت کوهنانی</v>
          </cell>
          <cell r="F43" t="str">
            <v>صحبت ولی زاده</v>
          </cell>
          <cell r="G43" t="str">
            <v xml:space="preserve">فیاض رحیم زاده </v>
          </cell>
        </row>
        <row r="44">
          <cell r="E44" t="str">
            <v>فروشگاه کوهدشت مالک اشتر</v>
          </cell>
          <cell r="F44" t="str">
            <v>میثم نوریان هاشم آبادی</v>
          </cell>
          <cell r="G44" t="str">
            <v xml:space="preserve">فیاض رحیم زاده </v>
          </cell>
        </row>
        <row r="45">
          <cell r="E45" t="str">
            <v>فرانچایز رومشکان</v>
          </cell>
          <cell r="F45" t="str">
            <v>مریم عبدی پور</v>
          </cell>
          <cell r="G45" t="str">
            <v xml:space="preserve">فیاض رحیم زاده </v>
          </cell>
        </row>
        <row r="46">
          <cell r="E46" t="str">
            <v>فرانچایز پلدختر کوی بسیجیان</v>
          </cell>
          <cell r="F46" t="str">
            <v>پرستو شهسواری</v>
          </cell>
          <cell r="G46" t="str">
            <v xml:space="preserve">فیاض رحیم زاده </v>
          </cell>
        </row>
        <row r="47">
          <cell r="E47" t="str">
            <v>فرانچایز پلدختر چهارراه جهاد</v>
          </cell>
          <cell r="F47" t="str">
            <v>فاطمه زکش</v>
          </cell>
          <cell r="G47" t="str">
            <v xml:space="preserve">فیاض رحیم زاده </v>
          </cell>
        </row>
        <row r="48">
          <cell r="E48" t="str">
            <v>فرانچایز پلدختر امام خمینی (ره)</v>
          </cell>
          <cell r="F48" t="str">
            <v>مرتضی زینی وند</v>
          </cell>
          <cell r="G48" t="str">
            <v xml:space="preserve">فیاض رحیم زاده </v>
          </cell>
        </row>
        <row r="49">
          <cell r="E49" t="str">
            <v>فرانچایز پلدختر هفت تیر دو</v>
          </cell>
          <cell r="F49" t="str">
            <v>حمزه جودکی</v>
          </cell>
          <cell r="G49" t="str">
            <v xml:space="preserve">فیاض رحیم زاده </v>
          </cell>
        </row>
        <row r="50">
          <cell r="E50" t="str">
            <v>فرانچایز ویسیان بلوار ولیعصر</v>
          </cell>
          <cell r="F50" t="str">
            <v>فاطمه سبزواری</v>
          </cell>
          <cell r="G50" t="str">
            <v>علی ابراهیمی نیا</v>
          </cell>
        </row>
        <row r="51">
          <cell r="E51" t="str">
            <v>فرانچایز معمولان خیابان امام دو</v>
          </cell>
          <cell r="F51" t="str">
            <v>علی مردانی</v>
          </cell>
          <cell r="G51" t="str">
            <v>علی ابراهیمی نیا</v>
          </cell>
        </row>
        <row r="52">
          <cell r="E52" t="str">
            <v>فرانچایز دوره چگنی خیابان رهبری</v>
          </cell>
          <cell r="F52" t="str">
            <v>اصغر امیری</v>
          </cell>
          <cell r="G52" t="str">
            <v>علی ابراهیمی نیا</v>
          </cell>
        </row>
        <row r="53">
          <cell r="E53" t="str">
            <v>فرانچایز خرم آباد چهارراه ماسور</v>
          </cell>
          <cell r="F53" t="str">
            <v>امیرمحمد زارعی ماسوری</v>
          </cell>
          <cell r="G53" t="str">
            <v>علی ابراهیمی نیا</v>
          </cell>
        </row>
        <row r="54">
          <cell r="E54" t="str">
            <v>فرانچایز خرم آباد شهرک حکمت دو</v>
          </cell>
          <cell r="F54" t="str">
            <v>رضا آزادی باغی</v>
          </cell>
          <cell r="G54" t="str">
            <v>علی ابراهیمی نیا</v>
          </cell>
        </row>
        <row r="55">
          <cell r="E55" t="str">
            <v>فرانچایز خرم آباد تلوری دو</v>
          </cell>
          <cell r="F55" t="str">
            <v>اعظم بهزادوند</v>
          </cell>
          <cell r="G55" t="str">
            <v>علی ابراهیمی نیا</v>
          </cell>
        </row>
        <row r="56">
          <cell r="E56" t="str">
            <v>فرانچایز خرم آباد ماسور دو</v>
          </cell>
          <cell r="F56" t="str">
            <v>محمد شريفي فرد</v>
          </cell>
          <cell r="G56" t="str">
            <v>علی ابراهیمی نیا</v>
          </cell>
        </row>
        <row r="57">
          <cell r="E57" t="str">
            <v>فروشگاه خرم آباد فردوسی</v>
          </cell>
          <cell r="F57" t="str">
            <v>سید وحید موسوی</v>
          </cell>
          <cell r="G57" t="str">
            <v>علی ابراهیمی نیا</v>
          </cell>
        </row>
        <row r="58">
          <cell r="E58" t="str">
            <v>فرانچایز خرم آباد میدان کیو دو</v>
          </cell>
          <cell r="F58" t="str">
            <v>سحر ترابی</v>
          </cell>
          <cell r="G58" t="str">
            <v>سامان بسطامی</v>
          </cell>
        </row>
        <row r="59">
          <cell r="E59" t="str">
            <v>فرانچایز خرم آباد میدان امام دو</v>
          </cell>
          <cell r="F59" t="str">
            <v>هادی عالی پور</v>
          </cell>
          <cell r="G59" t="str">
            <v>سامان بسطامی</v>
          </cell>
        </row>
        <row r="60">
          <cell r="E60" t="str">
            <v>فروشگاه خرم آباد خیابان علوی</v>
          </cell>
          <cell r="F60" t="str">
            <v>عبدالرضا میردریکوند</v>
          </cell>
          <cell r="G60" t="str">
            <v>سامان بسطامی</v>
          </cell>
        </row>
        <row r="61">
          <cell r="E61" t="str">
            <v>فرانچایز خرم آباد ژاندارمری</v>
          </cell>
          <cell r="F61" t="str">
            <v>مهدی ابدالی</v>
          </cell>
          <cell r="G61" t="str">
            <v>سامان بسطامی</v>
          </cell>
        </row>
        <row r="62">
          <cell r="E62" t="str">
            <v>فرانچایز خرم آباد خیابان ساحلی</v>
          </cell>
          <cell r="F62" t="str">
            <v>سارا افروزه</v>
          </cell>
          <cell r="G62" t="str">
            <v>سامان بسطامی</v>
          </cell>
        </row>
        <row r="63">
          <cell r="E63" t="str">
            <v>فروشگاه خرم آباد بلوار شصت متری</v>
          </cell>
          <cell r="F63" t="str">
            <v>حسين قلي پور</v>
          </cell>
          <cell r="G63" t="str">
            <v>سامان بسطامی</v>
          </cell>
        </row>
        <row r="64">
          <cell r="E64" t="str">
            <v>فروشگاه خرم آباد ولیعصر</v>
          </cell>
          <cell r="F64" t="str">
            <v xml:space="preserve">اسماعيل رضائي </v>
          </cell>
          <cell r="G64" t="str">
            <v>سامان بسطامی</v>
          </cell>
        </row>
        <row r="65">
          <cell r="E65" t="str">
            <v>فرانچایز کوهدشت شهرک امام</v>
          </cell>
          <cell r="F65" t="str">
            <v>حمیدرضا پبری ضرونی</v>
          </cell>
          <cell r="G65" t="str">
            <v>جواد رستمی</v>
          </cell>
        </row>
        <row r="66">
          <cell r="E66" t="str">
            <v>فرانچایز کوهدشت میدان 22بهمن</v>
          </cell>
          <cell r="F66" t="str">
            <v>آیدا چاره باشی</v>
          </cell>
          <cell r="G66" t="str">
            <v>جواد رستمی</v>
          </cell>
        </row>
        <row r="67">
          <cell r="E67" t="str">
            <v>فروشگاه کوهدشت بوعلی</v>
          </cell>
          <cell r="F67" t="str">
            <v>یونس آزادبخت</v>
          </cell>
          <cell r="G67" t="str">
            <v>جواد رستمی</v>
          </cell>
        </row>
        <row r="68">
          <cell r="E68" t="str">
            <v>فرانچایز کوهدشت ساحلی</v>
          </cell>
          <cell r="F68" t="str">
            <v xml:space="preserve">مرتضی تیموری </v>
          </cell>
          <cell r="G68" t="str">
            <v>جواد رستمی</v>
          </cell>
        </row>
        <row r="69">
          <cell r="E69" t="str">
            <v>فرانچایز کوهدشت بلوار خلیج فارس</v>
          </cell>
          <cell r="F69" t="str">
            <v>نور محمد گراوند</v>
          </cell>
          <cell r="G69" t="str">
            <v>جواد رستمی</v>
          </cell>
        </row>
        <row r="70">
          <cell r="E70" t="str">
            <v>فرانچایز کوهدشت خیابان حسابی</v>
          </cell>
          <cell r="F70" t="str">
            <v xml:space="preserve">متین ضروئنی </v>
          </cell>
          <cell r="G70" t="str">
            <v>جواد رستمی</v>
          </cell>
        </row>
        <row r="71">
          <cell r="E71" t="str">
            <v>فرانچایز کوهدشت دارایی</v>
          </cell>
          <cell r="F71" t="str">
            <v>سمیرا گنجی فر</v>
          </cell>
          <cell r="G71" t="str">
            <v>جواد رستمی</v>
          </cell>
        </row>
        <row r="72">
          <cell r="E72" t="str">
            <v>فروشگاه کوهدشت شهبازی</v>
          </cell>
          <cell r="F72" t="str">
            <v>فرشید قلیچی</v>
          </cell>
          <cell r="G72" t="str">
            <v>جواد رستمی</v>
          </cell>
        </row>
      </sheetData>
      <sheetData sheetId="11"/>
      <sheetData sheetId="1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B24C31-A1AC-4E36-92D7-2BF3F166F558}" name="Table9" displayName="Table9" ref="A1:T72" totalsRowShown="0" headerRowDxfId="46" dataDxfId="44" totalsRowDxfId="42" headerRowBorderDxfId="45" tableBorderDxfId="43" totalsRowBorderDxfId="41">
  <autoFilter ref="A1:T72" xr:uid="{39B24C31-A1AC-4E36-92D7-2BF3F166F558}"/>
  <sortState xmlns:xlrd2="http://schemas.microsoft.com/office/spreadsheetml/2017/richdata2" ref="A2:T72">
    <sortCondition descending="1" ref="S1:S72"/>
  </sortState>
  <tableColumns count="20">
    <tableColumn id="1" xr3:uid="{8AD70A38-01C6-41CA-A65F-12F1F5236571}" name="سوپروایزر" dataDxfId="40" totalsRowDxfId="39">
      <calculatedColumnFormula>VLOOKUP(Table9[[#This Row],[نام شعبه ]],[1]دیتا!E:G,3,0)</calculatedColumnFormula>
    </tableColumn>
    <tableColumn id="9" xr3:uid="{29169EA3-9C3C-4EBA-8F71-475F7C31B7CE}" name="کدشعبه " dataDxfId="38" totalsRowDxfId="37"/>
    <tableColumn id="2" xr3:uid="{B0D5702F-9CDB-406F-8654-A88C3F59E671}" name="نام شعبه " dataDxfId="36" totalsRowDxfId="35"/>
    <tableColumn id="3" xr3:uid="{E3CFE1CA-504A-4F5F-A55C-9AE7452A1A24}" name="ریالی راکد " dataDxfId="34" totalsRowDxfId="33"/>
    <tableColumn id="4" xr3:uid="{96B0727D-4605-47E1-8245-A3869C99A4A0}" name="درصد راکد16 شهریور" dataDxfId="32" totalsRowDxfId="31" dataCellStyle="Normal 2"/>
    <tableColumn id="8" xr3:uid="{84581BF0-4159-4D46-AED3-38AF181D0DC4}" name="درصد راکد18 شهریور2" dataDxfId="30" totalsRowDxfId="29" dataCellStyle="Normal 2"/>
    <tableColumn id="11" xr3:uid="{9C7B8435-7BF7-4D08-8547-AAF5BB7A92B9}" name="درصد  راکد 20 شهریور" dataDxfId="28" totalsRowDxfId="27" dataCellStyle="Normal 2">
      <calculatedColumnFormula>_xlfn.XLOOKUP(Table9[[#This Row],[کدشعبه ]],'[1]60 روزه'!A:A,'[1]60 روزه'!E:E,1)</calculatedColumnFormula>
    </tableColumn>
    <tableColumn id="10" xr3:uid="{5A0971F6-DEE5-44C7-81D2-F4615CEAAC1E}" name="درصد راکد 24 شهریور" dataDxfId="26" totalsRowDxfId="25" dataCellStyle="Normal 2"/>
    <tableColumn id="14" xr3:uid="{D226157A-5005-4406-9616-9226C548B939}" name="درصد راکد 26شهریور" dataDxfId="24" totalsRowDxfId="23" dataCellStyle="Normal 2"/>
    <tableColumn id="13" xr3:uid="{4923781A-B0AA-4034-A4B4-C48A6EE3F9F1}" name="درصد راکد1 مهر" dataDxfId="22" totalsRowDxfId="21" dataCellStyle="Normal 2"/>
    <tableColumn id="15" xr3:uid="{A0AB468A-5AE8-4617-B457-55AA2F79BC55}" name="درصد راکد9 مهر" dataDxfId="20" totalsRowDxfId="19" dataCellStyle="Normal 2"/>
    <tableColumn id="17" xr3:uid="{A921FE9F-29E9-4C0C-A75B-4A0CFAE4B314}" name="درصد راکد11مهر" dataDxfId="18" totalsRowDxfId="17" dataCellStyle="Normal 2"/>
    <tableColumn id="18" xr3:uid="{11999BA3-E3CE-480D-97C1-3BDB74F919ED}" name="درصد راکد13مهر" dataDxfId="16" totalsRowDxfId="15" dataCellStyle="Normal 2"/>
    <tableColumn id="20" xr3:uid="{BC6A1C78-EC87-44B7-9738-C9163683C4B9}" name="درصد راکد15مهر" dataDxfId="14" totalsRowDxfId="13" dataCellStyle="Normal 2"/>
    <tableColumn id="12" xr3:uid="{41ACD08E-1B81-432C-A9EA-CB4072DF13FC}" name="تغییرات " dataDxfId="12" totalsRowDxfId="11" dataCellStyle="Normal 2">
      <calculatedColumnFormula>N2-J2</calculatedColumnFormula>
    </tableColumn>
    <tableColumn id="5" xr3:uid="{9D1F9FFE-B8FA-4352-B9F9-1DB7015D9AB6}" name="سرپرست فروشگاه" dataDxfId="10" totalsRowDxfId="9" dataCellStyle="Normal 2">
      <calculatedColumnFormula>_xlfn.XLOOKUP(Table9[[#This Row],[کدشعبه ]],[1]!Table28[کد فروشگاه],[1]!Table28[Column1],"*",0)</calculatedColumnFormula>
    </tableColumn>
    <tableColumn id="6" xr3:uid="{2703EC14-3751-4449-9F68-DE04F5FA8ED5}" name="تارگت22 مهر" dataDxfId="0" totalsRowDxfId="8" dataCellStyle="Normal 2">
      <calculatedColumnFormula>N2-(M2*0.15)</calculatedColumnFormula>
    </tableColumn>
    <tableColumn id="7" xr3:uid="{E56D5672-18C0-441C-8A2D-38E47E2E32F0}" name="تغییرات تارگتی مورد انتظار " dataDxfId="7" totalsRowDxfId="6" dataCellStyle="Normal 2">
      <calculatedColumnFormula>Q2-J2</calculatedColumnFormula>
    </tableColumn>
    <tableColumn id="16" xr3:uid="{51BC72E3-623C-4544-95D4-C0F8E385C67E}" name="درصد تحقق " dataDxfId="5" totalsRowDxfId="4" dataCellStyle="Percent">
      <calculatedColumnFormula>Table9[[#This Row],[تارگت22 مهر]]/Table9[[#This Row],[درصد راکد15مهر]]</calculatedColumnFormula>
    </tableColumn>
    <tableColumn id="21" xr3:uid="{E1116BC5-FB2A-4C52-B109-B95B0A86A1AB}" name="تغییرات  از1 تا 15" dataDxfId="3" totalsRowDxfId="2" dataCellStyle="Normal 2">
      <calculatedColumnFormula>IF(J2-N2&gt;=1%,"عالی",IF(J2-N2&gt;=0.5%,"خوب",IF(J2-N2&gt;=0.2%,"متوسط","ضعیف")))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1DA6A-DBBB-4DC5-9548-23F93E5D02D0}">
  <dimension ref="A1:T72"/>
  <sheetViews>
    <sheetView rightToLeft="1" tabSelected="1" topLeftCell="E1" workbookViewId="0">
      <selection activeCell="R5" sqref="R5"/>
    </sheetView>
  </sheetViews>
  <sheetFormatPr defaultRowHeight="14.4" x14ac:dyDescent="0.3"/>
  <cols>
    <col min="1" max="1" width="12.77734375" bestFit="1" customWidth="1"/>
    <col min="2" max="2" width="10.33203125" bestFit="1" customWidth="1"/>
    <col min="3" max="3" width="30.88671875" bestFit="1" customWidth="1"/>
    <col min="4" max="4" width="14.109375" bestFit="1" customWidth="1"/>
    <col min="5" max="5" width="10.77734375" bestFit="1" customWidth="1"/>
    <col min="6" max="6" width="11.77734375" bestFit="1" customWidth="1"/>
    <col min="7" max="7" width="11.109375" bestFit="1" customWidth="1"/>
    <col min="8" max="9" width="13.21875" bestFit="1" customWidth="1"/>
    <col min="10" max="11" width="12.21875" bestFit="1" customWidth="1"/>
    <col min="12" max="12" width="12.77734375" bestFit="1" customWidth="1"/>
    <col min="13" max="14" width="12.77734375" customWidth="1"/>
    <col min="15" max="15" width="10.6640625" bestFit="1" customWidth="1"/>
    <col min="16" max="16" width="17.88671875" bestFit="1" customWidth="1"/>
    <col min="17" max="17" width="12" bestFit="1" customWidth="1"/>
    <col min="18" max="18" width="13.33203125" bestFit="1" customWidth="1"/>
    <col min="19" max="19" width="13.5546875" bestFit="1" customWidth="1"/>
  </cols>
  <sheetData>
    <row r="1" spans="1:20" ht="28.8" x14ac:dyDescent="0.3">
      <c r="A1" s="1" t="s">
        <v>158</v>
      </c>
      <c r="B1" s="2" t="s">
        <v>0</v>
      </c>
      <c r="C1" s="3" t="s">
        <v>1</v>
      </c>
      <c r="D1" s="3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159</v>
      </c>
      <c r="N1" s="5" t="s">
        <v>157</v>
      </c>
      <c r="O1" s="4" t="s">
        <v>11</v>
      </c>
      <c r="P1" s="6" t="s">
        <v>12</v>
      </c>
      <c r="Q1" s="6" t="s">
        <v>161</v>
      </c>
      <c r="R1" s="6" t="s">
        <v>13</v>
      </c>
      <c r="S1" s="7" t="s">
        <v>14</v>
      </c>
      <c r="T1" s="16" t="s">
        <v>160</v>
      </c>
    </row>
    <row r="2" spans="1:20" x14ac:dyDescent="0.3">
      <c r="A2" s="8" t="str">
        <f>VLOOKUP(Table9[[#This Row],[نام شعبه ]],[1]دیتا!E:G,3,0)</f>
        <v>سامان بسطامی</v>
      </c>
      <c r="B2" s="9" t="s">
        <v>151</v>
      </c>
      <c r="C2" s="10" t="s">
        <v>152</v>
      </c>
      <c r="D2" s="11">
        <v>65953000</v>
      </c>
      <c r="E2" s="12">
        <v>2.7033453359864168E-4</v>
      </c>
      <c r="F2" s="12">
        <v>5.8295839368494354E-4</v>
      </c>
      <c r="G2" s="12">
        <f>_xlfn.XLOOKUP(Table9[[#This Row],[کدشعبه ]],'[1]60 روزه'!A:A,'[1]60 روزه'!E:E,1)</f>
        <v>4.267098491832214E-4</v>
      </c>
      <c r="H2" s="12">
        <v>2.9772472697645009E-4</v>
      </c>
      <c r="I2" s="12">
        <v>4.5811269261347254E-4</v>
      </c>
      <c r="J2" s="12">
        <v>1.3944704535665509E-3</v>
      </c>
      <c r="K2" s="12">
        <v>4.4772094167395835E-4</v>
      </c>
      <c r="L2" s="12">
        <v>3.9334031851764899E-4</v>
      </c>
      <c r="M2" s="12">
        <v>4.267098491832214E-4</v>
      </c>
      <c r="N2" s="13">
        <v>1.3422853897630436E-3</v>
      </c>
      <c r="O2" s="12">
        <f>N2-J2</f>
        <v>-5.2185063803507348E-5</v>
      </c>
      <c r="P2" s="14" t="e">
        <f>_xlfn.XLOOKUP(Table9[[#This Row],[کدشعبه ]],[1]!Table28[کد فروشگاه],[1]!Table28[Column1],"*",0)</f>
        <v>#REF!</v>
      </c>
      <c r="Q2" s="12">
        <f>N2-(M2*0.15)</f>
        <v>1.2782789123855604E-3</v>
      </c>
      <c r="R2" s="12">
        <f>Q2-J2</f>
        <v>-1.1619154118099051E-4</v>
      </c>
      <c r="S2" s="15">
        <f>Table9[[#This Row],[تارگت22 مهر]]/Table9[[#This Row],[درصد راکد15مهر]]</f>
        <v>0.95231529906707668</v>
      </c>
      <c r="T2" s="17" t="str">
        <f>IF(J2-N2&gt;=1%,"عالی",IF(J2-N2&gt;=0.5%,"خوب",IF(J2-N2&gt;=0.2%,"متوسط","ضعیف")))</f>
        <v>ضعیف</v>
      </c>
    </row>
    <row r="3" spans="1:20" x14ac:dyDescent="0.3">
      <c r="A3" s="8" t="str">
        <f>VLOOKUP(Table9[[#This Row],[نام شعبه ]],[1]دیتا!E:G,3,0)</f>
        <v>علی ابراهیمی نیا</v>
      </c>
      <c r="B3" s="9" t="s">
        <v>27</v>
      </c>
      <c r="C3" s="10" t="s">
        <v>28</v>
      </c>
      <c r="D3" s="11">
        <v>316966600</v>
      </c>
      <c r="E3" s="12">
        <v>1.8041287378381787E-3</v>
      </c>
      <c r="F3" s="12">
        <v>1.8805227856574991E-3</v>
      </c>
      <c r="G3" s="12">
        <f>_xlfn.XLOOKUP(Table9[[#This Row],[کدشعبه ]],'[1]60 روزه'!A:A,'[1]60 روزه'!E:E,1)</f>
        <v>2.5770866762288621E-3</v>
      </c>
      <c r="H3" s="12">
        <v>1.9385821699033831E-3</v>
      </c>
      <c r="I3" s="12">
        <v>1.9477156254126729E-3</v>
      </c>
      <c r="J3" s="12">
        <v>2.18161905610315E-3</v>
      </c>
      <c r="K3" s="12">
        <v>3.6294318935584766E-3</v>
      </c>
      <c r="L3" s="12">
        <v>3.2096043835083653E-3</v>
      </c>
      <c r="M3" s="12">
        <v>2.5770866762288621E-3</v>
      </c>
      <c r="N3" s="13">
        <v>3.4800184418817361E-3</v>
      </c>
      <c r="O3" s="12">
        <f>N3-J3</f>
        <v>1.2983993857785862E-3</v>
      </c>
      <c r="P3" s="14" t="e">
        <f>_xlfn.XLOOKUP(Table9[[#This Row],[کدشعبه ]],[1]!Table28[کد فروشگاه],[1]!Table28[Column1],"*",0)</f>
        <v>#REF!</v>
      </c>
      <c r="Q3" s="12">
        <f>N3-(M3*0.15)</f>
        <v>3.093455440447407E-3</v>
      </c>
      <c r="R3" s="12">
        <f>Q3-J3</f>
        <v>9.1183638434425701E-4</v>
      </c>
      <c r="S3" s="15">
        <f>Table9[[#This Row],[تارگت22 مهر]]/Table9[[#This Row],[درصد راکد15مهر]]</f>
        <v>0.88891926640902952</v>
      </c>
      <c r="T3" s="12" t="str">
        <f>IF(J3-N3&gt;=1%,"عالی",IF(J3-N3&gt;=0.5%,"خوب",IF(J3-N3&gt;=0.2%,"متوسط","ضعیف")))</f>
        <v>ضعیف</v>
      </c>
    </row>
    <row r="4" spans="1:20" x14ac:dyDescent="0.3">
      <c r="A4" s="8" t="str">
        <f>VLOOKUP(Table9[[#This Row],[نام شعبه ]],[1]دیتا!E:G,3,0)</f>
        <v>سامان بسطامی</v>
      </c>
      <c r="B4" s="9" t="s">
        <v>35</v>
      </c>
      <c r="C4" s="10" t="s">
        <v>36</v>
      </c>
      <c r="D4" s="11">
        <v>400113860</v>
      </c>
      <c r="E4" s="12">
        <v>5.4851675633515147E-3</v>
      </c>
      <c r="F4" s="12">
        <v>5.8707608037696342E-3</v>
      </c>
      <c r="G4" s="12">
        <f>_xlfn.XLOOKUP(Table9[[#This Row],[کدشعبه ]],'[1]60 روزه'!A:A,'[1]60 روزه'!E:E,1)</f>
        <v>5.63757884815436E-3</v>
      </c>
      <c r="H4" s="12">
        <v>7.0081855999051352E-3</v>
      </c>
      <c r="I4" s="12">
        <v>8.328990456578228E-3</v>
      </c>
      <c r="J4" s="12">
        <v>4.5032864134481685E-3</v>
      </c>
      <c r="K4" s="12">
        <v>1.2336273515410758E-2</v>
      </c>
      <c r="L4" s="12">
        <v>1.2155461105483864E-2</v>
      </c>
      <c r="M4" s="12">
        <v>5.63757884815436E-3</v>
      </c>
      <c r="N4" s="13">
        <v>7.3085774390842205E-3</v>
      </c>
      <c r="O4" s="12">
        <f>N4-J4</f>
        <v>2.805291025636052E-3</v>
      </c>
      <c r="P4" s="14" t="e">
        <f>_xlfn.XLOOKUP(Table9[[#This Row],[کدشعبه ]],[1]!Table28[کد فروشگاه],[1]!Table28[Column1],"*",0)</f>
        <v>#REF!</v>
      </c>
      <c r="Q4" s="12">
        <f>N4-(M4*0.15)</f>
        <v>6.4629406118610665E-3</v>
      </c>
      <c r="R4" s="12">
        <f>Q4-J4</f>
        <v>1.959654198412898E-3</v>
      </c>
      <c r="S4" s="15">
        <f>Table9[[#This Row],[تارگت22 مهر]]/Table9[[#This Row],[درصد راکد15مهر]]</f>
        <v>0.88429529080434643</v>
      </c>
      <c r="T4" s="12" t="str">
        <f>IF(J4-N4&gt;=1%,"عالی",IF(J4-N4&gt;=0.5%,"خوب",IF(J4-N4&gt;=0.2%,"متوسط","ضعیف")))</f>
        <v>ضعیف</v>
      </c>
    </row>
    <row r="5" spans="1:20" x14ac:dyDescent="0.3">
      <c r="A5" s="8" t="str">
        <f>VLOOKUP(Table9[[#This Row],[نام شعبه ]],[1]دیتا!E:G,3,0)</f>
        <v>محمد کاظم بستامی</v>
      </c>
      <c r="B5" s="9" t="s">
        <v>69</v>
      </c>
      <c r="C5" s="10" t="s">
        <v>70</v>
      </c>
      <c r="D5" s="11">
        <v>862075602</v>
      </c>
      <c r="E5" s="12">
        <v>1.2159123127017238E-2</v>
      </c>
      <c r="F5" s="12">
        <v>1.3654727550820958E-2</v>
      </c>
      <c r="G5" s="12">
        <f>_xlfn.XLOOKUP(Table9[[#This Row],[کدشعبه ]],'[1]60 روزه'!A:A,'[1]60 روزه'!E:E,1)</f>
        <v>1.2288544924329063E-2</v>
      </c>
      <c r="H5" s="12">
        <v>1.374490000995906E-2</v>
      </c>
      <c r="I5" s="12">
        <v>1.8149938146925455E-2</v>
      </c>
      <c r="J5" s="12">
        <v>1.705814068048268E-2</v>
      </c>
      <c r="K5" s="12">
        <v>1.306149811646995E-2</v>
      </c>
      <c r="L5" s="12">
        <v>1.2250718850992595E-2</v>
      </c>
      <c r="M5" s="12">
        <v>1.2288544924329063E-2</v>
      </c>
      <c r="N5" s="13">
        <v>1.4809153279373889E-2</v>
      </c>
      <c r="O5" s="12">
        <f>N5-J5</f>
        <v>-2.2489874011087912E-3</v>
      </c>
      <c r="P5" s="14" t="e">
        <f>_xlfn.XLOOKUP(Table9[[#This Row],[کدشعبه ]],[1]!Table28[کد فروشگاه],[1]!Table28[Column1],"*",0)</f>
        <v>#REF!</v>
      </c>
      <c r="Q5" s="12">
        <f>N5-(M5*0.15)</f>
        <v>1.296587154072453E-2</v>
      </c>
      <c r="R5" s="12">
        <f>Q5-J5</f>
        <v>-4.0922691397581503E-3</v>
      </c>
      <c r="S5" s="15">
        <f>Table9[[#This Row],[تارگت22 مهر]]/Table9[[#This Row],[درصد راکد15مهر]]</f>
        <v>0.87553091632749369</v>
      </c>
      <c r="T5" s="12" t="str">
        <f>IF(J5-N5&gt;=1%,"عالی",IF(J5-N5&gt;=0.5%,"خوب",IF(J5-N5&gt;=0.2%,"متوسط","ضعیف")))</f>
        <v>متوسط</v>
      </c>
    </row>
    <row r="6" spans="1:20" x14ac:dyDescent="0.3">
      <c r="A6" s="8" t="str">
        <f>VLOOKUP(Table9[[#This Row],[نام شعبه ]],[1]دیتا!E:G,3,0)</f>
        <v>مصطفی سیفی</v>
      </c>
      <c r="B6" s="9" t="s">
        <v>67</v>
      </c>
      <c r="C6" s="10" t="s">
        <v>68</v>
      </c>
      <c r="D6" s="11">
        <v>1026886310</v>
      </c>
      <c r="E6" s="12">
        <v>1.8348137534385783E-2</v>
      </c>
      <c r="F6" s="12">
        <v>2.1546564755057375E-2</v>
      </c>
      <c r="G6" s="12">
        <f>_xlfn.XLOOKUP(Table9[[#This Row],[کدشعبه ]],'[1]60 روزه'!A:A,'[1]60 روزه'!E:E,1)</f>
        <v>1.3457073686006462E-2</v>
      </c>
      <c r="H6" s="12">
        <v>1.9761917772541594E-2</v>
      </c>
      <c r="I6" s="12">
        <v>1.82683361703831E-2</v>
      </c>
      <c r="J6" s="12">
        <v>1.5174778657400627E-2</v>
      </c>
      <c r="K6" s="12">
        <v>1.5766660998670089E-2</v>
      </c>
      <c r="L6" s="12">
        <v>1.5682536262892878E-2</v>
      </c>
      <c r="M6" s="12">
        <v>1.3457073686006462E-2</v>
      </c>
      <c r="N6" s="13">
        <v>1.5649352738744335E-2</v>
      </c>
      <c r="O6" s="12">
        <f>N6-J6</f>
        <v>4.7457408134370799E-4</v>
      </c>
      <c r="P6" s="14" t="e">
        <f>_xlfn.XLOOKUP(Table9[[#This Row],[کدشعبه ]],[1]!Table28[کد فروشگاه],[1]!Table28[Column1],"*",0)</f>
        <v>#REF!</v>
      </c>
      <c r="Q6" s="12">
        <f>N6-(M6*0.15)</f>
        <v>1.3630791685843366E-2</v>
      </c>
      <c r="R6" s="12">
        <f>Q6-J6</f>
        <v>-1.5439869715572607E-3</v>
      </c>
      <c r="S6" s="15">
        <f>Table9[[#This Row],[تارگت22 مهر]]/Table9[[#This Row],[درصد راکد15مهر]]</f>
        <v>0.87101312836386779</v>
      </c>
      <c r="T6" s="12" t="str">
        <f>IF(J6-N6&gt;=1%,"عالی",IF(J6-N6&gt;=0.5%,"خوب",IF(J6-N6&gt;=0.2%,"متوسط","ضعیف")))</f>
        <v>ضعیف</v>
      </c>
    </row>
    <row r="7" spans="1:20" x14ac:dyDescent="0.3">
      <c r="A7" s="8" t="str">
        <f>VLOOKUP(Table9[[#This Row],[نام شعبه ]],[1]دیتا!E:G,3,0)</f>
        <v>سامان بسطامی</v>
      </c>
      <c r="B7" s="9" t="s">
        <v>153</v>
      </c>
      <c r="C7" s="10" t="s">
        <v>154</v>
      </c>
      <c r="D7" s="11">
        <v>477324058</v>
      </c>
      <c r="E7" s="12">
        <v>5.0325649789060992E-3</v>
      </c>
      <c r="F7" s="12">
        <v>4.6970395628770653E-3</v>
      </c>
      <c r="G7" s="12">
        <f>_xlfn.XLOOKUP(Table9[[#This Row],[کدشعبه ]],'[1]60 روزه'!A:A,'[1]60 روزه'!E:E,1)</f>
        <v>5.3145080280799367E-3</v>
      </c>
      <c r="H7" s="12">
        <v>5.7852658209281097E-3</v>
      </c>
      <c r="I7" s="12">
        <v>6.2369107184717474E-3</v>
      </c>
      <c r="J7" s="12">
        <v>6.3586287956564191E-3</v>
      </c>
      <c r="K7" s="12">
        <v>4.8393072474369582E-3</v>
      </c>
      <c r="L7" s="12">
        <v>6.4673270136137344E-3</v>
      </c>
      <c r="M7" s="12">
        <v>5.3145080280799367E-3</v>
      </c>
      <c r="N7" s="13">
        <v>6.1449733623911785E-3</v>
      </c>
      <c r="O7" s="12">
        <f>N7-J7</f>
        <v>-2.1365543326524062E-4</v>
      </c>
      <c r="P7" s="14" t="e">
        <f>_xlfn.XLOOKUP(Table9[[#This Row],[کدشعبه ]],[1]!Table28[کد فروشگاه],[1]!Table28[Column1],"*",0)</f>
        <v>#REF!</v>
      </c>
      <c r="Q7" s="12">
        <f>N7-(M7*0.15)</f>
        <v>5.3477971581791881E-3</v>
      </c>
      <c r="R7" s="12">
        <f>Q7-J7</f>
        <v>-1.010831637477231E-3</v>
      </c>
      <c r="S7" s="15">
        <f>Table9[[#This Row],[تارگت22 مهر]]/Table9[[#This Row],[درصد راکد15مهر]]</f>
        <v>0.87027182101538236</v>
      </c>
      <c r="T7" s="12" t="str">
        <f>IF(J7-N7&gt;=1%,"عالی",IF(J7-N7&gt;=0.5%,"خوب",IF(J7-N7&gt;=0.2%,"متوسط","ضعیف")))</f>
        <v>ضعیف</v>
      </c>
    </row>
    <row r="8" spans="1:20" x14ac:dyDescent="0.3">
      <c r="A8" s="8" t="str">
        <f>VLOOKUP(Table9[[#This Row],[نام شعبه ]],[1]دیتا!E:G,3,0)</f>
        <v>محمد شاکری</v>
      </c>
      <c r="B8" s="9" t="s">
        <v>117</v>
      </c>
      <c r="C8" s="10" t="s">
        <v>118</v>
      </c>
      <c r="D8" s="11">
        <v>362130872</v>
      </c>
      <c r="E8" s="12">
        <v>1.3478232132830148E-2</v>
      </c>
      <c r="F8" s="12">
        <v>1.0424515571447248E-2</v>
      </c>
      <c r="G8" s="12">
        <f>_xlfn.XLOOKUP(Table9[[#This Row],[کدشعبه ]],'[1]60 روزه'!A:A,'[1]60 روزه'!E:E,1)</f>
        <v>4.9111326982029706E-3</v>
      </c>
      <c r="H8" s="12">
        <v>1.0500628795156185E-2</v>
      </c>
      <c r="I8" s="12">
        <v>1.141904564144201E-2</v>
      </c>
      <c r="J8" s="12">
        <v>1.4094946013977655E-2</v>
      </c>
      <c r="K8" s="12">
        <v>8.468975016907675E-3</v>
      </c>
      <c r="L8" s="12">
        <v>8.3408966873802261E-3</v>
      </c>
      <c r="M8" s="12">
        <v>4.9111326982029706E-3</v>
      </c>
      <c r="N8" s="13">
        <v>5.6716032684383019E-3</v>
      </c>
      <c r="O8" s="12">
        <f>N8-J8</f>
        <v>-8.4233427455393528E-3</v>
      </c>
      <c r="P8" s="14" t="e">
        <f>_xlfn.XLOOKUP(Table9[[#This Row],[کدشعبه ]],[1]!Table28[کد فروشگاه],[1]!Table28[Column1],"*",0)</f>
        <v>#REF!</v>
      </c>
      <c r="Q8" s="12">
        <f>N8-(M8*0.15)</f>
        <v>4.9349333637078562E-3</v>
      </c>
      <c r="R8" s="12">
        <f>Q8-J8</f>
        <v>-9.1600126502697984E-3</v>
      </c>
      <c r="S8" s="15">
        <f>Table9[[#This Row],[تارگت22 مهر]]/Table9[[#This Row],[درصد راکد15مهر]]</f>
        <v>0.87011258195193009</v>
      </c>
      <c r="T8" s="12" t="str">
        <f>IF(J8-N8&gt;=1%,"عالی",IF(J8-N8&gt;=0.5%,"خوب",IF(J8-N8&gt;=0.2%,"متوسط","ضعیف")))</f>
        <v>خوب</v>
      </c>
    </row>
    <row r="9" spans="1:20" x14ac:dyDescent="0.3">
      <c r="A9" s="8" t="str">
        <f>VLOOKUP(Table9[[#This Row],[نام شعبه ]],[1]دیتا!E:G,3,0)</f>
        <v>جواد رستمی</v>
      </c>
      <c r="B9" s="9" t="s">
        <v>139</v>
      </c>
      <c r="C9" s="10" t="s">
        <v>140</v>
      </c>
      <c r="D9" s="11">
        <v>3099786982</v>
      </c>
      <c r="E9" s="12">
        <v>3.5969764976289079E-2</v>
      </c>
      <c r="F9" s="12">
        <v>3.6874248515368836E-2</v>
      </c>
      <c r="G9" s="12">
        <f>_xlfn.XLOOKUP(Table9[[#This Row],[کدشعبه ]],'[1]60 روزه'!A:A,'[1]60 روزه'!E:E,1)</f>
        <v>4.5550269412656066E-2</v>
      </c>
      <c r="H9" s="12">
        <v>3.0192768265440765E-2</v>
      </c>
      <c r="I9" s="12">
        <v>3.2343937838418962E-2</v>
      </c>
      <c r="J9" s="12">
        <v>4.0052970557923104E-2</v>
      </c>
      <c r="K9" s="12">
        <v>3.7474723547286606E-2</v>
      </c>
      <c r="L9" s="12">
        <v>4.4900740002965185E-2</v>
      </c>
      <c r="M9" s="12">
        <v>4.5550269412656087E-2</v>
      </c>
      <c r="N9" s="13">
        <v>5.2505057486469227E-2</v>
      </c>
      <c r="O9" s="12">
        <f>N9-J9</f>
        <v>1.2452086928546123E-2</v>
      </c>
      <c r="P9" s="14" t="e">
        <f>_xlfn.XLOOKUP(Table9[[#This Row],[کدشعبه ]],[1]!Table28[کد فروشگاه],[1]!Table28[Column1],"*",0)</f>
        <v>#REF!</v>
      </c>
      <c r="Q9" s="12">
        <f>N9-(M9*0.15)</f>
        <v>4.5672517074570818E-2</v>
      </c>
      <c r="R9" s="12">
        <f>Q9-J9</f>
        <v>5.6195465166477138E-3</v>
      </c>
      <c r="S9" s="15">
        <f>Table9[[#This Row],[تارگت22 مهر]]/Table9[[#This Row],[درصد راکد15مهر]]</f>
        <v>0.86986890903492142</v>
      </c>
      <c r="T9" s="12" t="str">
        <f>IF(J9-N9&gt;=1%,"عالی",IF(J9-N9&gt;=0.5%,"خوب",IF(J9-N9&gt;=0.2%,"متوسط","ضعیف")))</f>
        <v>ضعیف</v>
      </c>
    </row>
    <row r="10" spans="1:20" x14ac:dyDescent="0.3">
      <c r="A10" s="8" t="str">
        <f>VLOOKUP(Table9[[#This Row],[نام شعبه ]],[1]دیتا!E:G,3,0)</f>
        <v xml:space="preserve">میثم جلالوند </v>
      </c>
      <c r="B10" s="9" t="s">
        <v>129</v>
      </c>
      <c r="C10" s="10" t="s">
        <v>130</v>
      </c>
      <c r="D10" s="11">
        <v>4321197129</v>
      </c>
      <c r="E10" s="12">
        <v>6.8883633995401747E-2</v>
      </c>
      <c r="F10" s="12">
        <v>7.0489911425878418E-2</v>
      </c>
      <c r="G10" s="12">
        <f>_xlfn.XLOOKUP(Table9[[#This Row],[کدشعبه ]],'[1]60 روزه'!A:A,'[1]60 روزه'!E:E,1)</f>
        <v>5.4896504756150065E-2</v>
      </c>
      <c r="H10" s="12">
        <v>6.5741114685212737E-2</v>
      </c>
      <c r="I10" s="12">
        <v>6.7214792867340292E-2</v>
      </c>
      <c r="J10" s="12">
        <v>5.7120581170947815E-2</v>
      </c>
      <c r="K10" s="12">
        <v>4.7065252018231134E-2</v>
      </c>
      <c r="L10" s="12">
        <v>5.2772673787061672E-2</v>
      </c>
      <c r="M10" s="12">
        <v>5.4896504756150058E-2</v>
      </c>
      <c r="N10" s="13">
        <v>6.3140622009588809E-2</v>
      </c>
      <c r="O10" s="12">
        <f>N10-J10</f>
        <v>6.0200408386409943E-3</v>
      </c>
      <c r="P10" s="14" t="e">
        <f>_xlfn.XLOOKUP(Table9[[#This Row],[کدشعبه ]],[1]!Table28[کد فروشگاه],[1]!Table28[Column1],"*",0)</f>
        <v>#REF!</v>
      </c>
      <c r="Q10" s="12">
        <f>N10-(M10*0.15)</f>
        <v>5.4906146296166303E-2</v>
      </c>
      <c r="R10" s="12">
        <f>Q10-J10</f>
        <v>-2.2144348747815124E-3</v>
      </c>
      <c r="S10" s="15">
        <f>Table9[[#This Row],[تارگت22 مهر]]/Table9[[#This Row],[درصد راکد15مهر]]</f>
        <v>0.86958513471451104</v>
      </c>
      <c r="T10" s="12" t="str">
        <f>IF(J10-N10&gt;=1%,"عالی",IF(J10-N10&gt;=0.5%,"خوب",IF(J10-N10&gt;=0.2%,"متوسط","ضعیف")))</f>
        <v>ضعیف</v>
      </c>
    </row>
    <row r="11" spans="1:20" x14ac:dyDescent="0.3">
      <c r="A11" s="8" t="str">
        <f>VLOOKUP(Table9[[#This Row],[نام شعبه ]],[1]دیتا!E:G,3,0)</f>
        <v>سامان بسطامی</v>
      </c>
      <c r="B11" s="9" t="s">
        <v>141</v>
      </c>
      <c r="C11" s="10" t="s">
        <v>142</v>
      </c>
      <c r="D11" s="11">
        <v>407539768</v>
      </c>
      <c r="E11" s="12">
        <v>2.9205115932292311E-3</v>
      </c>
      <c r="F11" s="12">
        <v>2.7830078939207054E-3</v>
      </c>
      <c r="G11" s="12">
        <f>_xlfn.XLOOKUP(Table9[[#This Row],[کدشعبه ]],'[1]60 روزه'!A:A,'[1]60 روزه'!E:E,1)</f>
        <v>6.4913166412891759E-3</v>
      </c>
      <c r="H11" s="12">
        <v>3.493423259014198E-3</v>
      </c>
      <c r="I11" s="12">
        <v>4.0577182704018737E-3</v>
      </c>
      <c r="J11" s="12">
        <v>3.7296294489652109E-3</v>
      </c>
      <c r="K11" s="12">
        <v>3.6291979911529737E-3</v>
      </c>
      <c r="L11" s="12">
        <v>4.390801462136028E-3</v>
      </c>
      <c r="M11" s="12">
        <v>6.4913166412891759E-3</v>
      </c>
      <c r="N11" s="13">
        <v>7.395353897508815E-3</v>
      </c>
      <c r="O11" s="12">
        <f>N11-J11</f>
        <v>3.6657244485436041E-3</v>
      </c>
      <c r="P11" s="14" t="e">
        <f>_xlfn.XLOOKUP(Table9[[#This Row],[کدشعبه ]],[1]!Table28[کد فروشگاه],[1]!Table28[Column1],"*",0)</f>
        <v>#REF!</v>
      </c>
      <c r="Q11" s="12">
        <f>N11-(M11*0.15)</f>
        <v>6.4216564013154388E-3</v>
      </c>
      <c r="R11" s="12">
        <f>Q11-J11</f>
        <v>2.6920269523502279E-3</v>
      </c>
      <c r="S11" s="15">
        <f>Table9[[#This Row],[تارگت22 مهر]]/Table9[[#This Row],[درصد راکد15مهر]]</f>
        <v>0.86833659217831693</v>
      </c>
      <c r="T11" s="12" t="str">
        <f>IF(J11-N11&gt;=1%,"عالی",IF(J11-N11&gt;=0.5%,"خوب",IF(J11-N11&gt;=0.2%,"متوسط","ضعیف")))</f>
        <v>ضعیف</v>
      </c>
    </row>
    <row r="12" spans="1:20" x14ac:dyDescent="0.3">
      <c r="A12" s="8" t="str">
        <f>VLOOKUP(Table9[[#This Row],[نام شعبه ]],[1]دیتا!E:G,3,0)</f>
        <v xml:space="preserve">میثم جلالوند </v>
      </c>
      <c r="B12" s="9" t="s">
        <v>53</v>
      </c>
      <c r="C12" s="10" t="s">
        <v>54</v>
      </c>
      <c r="D12" s="11">
        <v>761504588</v>
      </c>
      <c r="E12" s="12">
        <v>3.8086694482860691E-3</v>
      </c>
      <c r="F12" s="12">
        <v>4.1139422371344872E-3</v>
      </c>
      <c r="G12" s="12">
        <f>_xlfn.XLOOKUP(Table9[[#This Row],[کدشعبه ]],'[1]60 روزه'!A:A,'[1]60 روزه'!E:E,1)</f>
        <v>6.7223505199324697E-3</v>
      </c>
      <c r="H12" s="12">
        <v>5.4585489136411321E-3</v>
      </c>
      <c r="I12" s="12">
        <v>5.5829306489088475E-3</v>
      </c>
      <c r="J12" s="12">
        <v>7.8040023926704422E-3</v>
      </c>
      <c r="K12" s="12">
        <v>7.5666595527514617E-3</v>
      </c>
      <c r="L12" s="12">
        <v>7.3568782426390884E-3</v>
      </c>
      <c r="M12" s="12">
        <v>6.7223505199324697E-3</v>
      </c>
      <c r="N12" s="13">
        <v>7.6447699453943358E-3</v>
      </c>
      <c r="O12" s="12">
        <f>N12-J12</f>
        <v>-1.5923244727610638E-4</v>
      </c>
      <c r="P12" s="14" t="e">
        <f>_xlfn.XLOOKUP(Table9[[#This Row],[کدشعبه ]],[1]!Table28[کد فروشگاه],[1]!Table28[Column1],"*",0)</f>
        <v>#REF!</v>
      </c>
      <c r="Q12" s="12">
        <f>N12-(M12*0.15)</f>
        <v>6.6364173674044648E-3</v>
      </c>
      <c r="R12" s="12">
        <f>Q12-J12</f>
        <v>-1.1675850252659773E-3</v>
      </c>
      <c r="S12" s="15">
        <f>Table9[[#This Row],[تارگت22 مهر]]/Table9[[#This Row],[درصد راکد15مهر]]</f>
        <v>0.86809902911501446</v>
      </c>
      <c r="T12" s="12" t="str">
        <f>IF(J12-N12&gt;=1%,"عالی",IF(J12-N12&gt;=0.5%,"خوب",IF(J12-N12&gt;=0.2%,"متوسط","ضعیف")))</f>
        <v>ضعیف</v>
      </c>
    </row>
    <row r="13" spans="1:20" x14ac:dyDescent="0.3">
      <c r="A13" s="8" t="str">
        <f>VLOOKUP(Table9[[#This Row],[نام شعبه ]],[1]دیتا!E:G,3,0)</f>
        <v>مصطفی سیفی</v>
      </c>
      <c r="B13" s="9" t="s">
        <v>99</v>
      </c>
      <c r="C13" s="10" t="s">
        <v>100</v>
      </c>
      <c r="D13" s="11">
        <v>1808779710</v>
      </c>
      <c r="E13" s="12">
        <v>5.8498637663225266E-2</v>
      </c>
      <c r="F13" s="12">
        <v>6.1536193269702277E-2</v>
      </c>
      <c r="G13" s="12">
        <f>_xlfn.XLOOKUP(Table9[[#This Row],[کدشعبه ]],'[1]60 روزه'!A:A,'[1]60 روزه'!E:E,1)</f>
        <v>4.3906359796488631E-2</v>
      </c>
      <c r="H13" s="12">
        <v>5.2643938433221966E-2</v>
      </c>
      <c r="I13" s="12">
        <v>5.8972694571794389E-2</v>
      </c>
      <c r="J13" s="12">
        <v>4.635068792870993E-2</v>
      </c>
      <c r="K13" s="12">
        <v>4.1391197578776302E-2</v>
      </c>
      <c r="L13" s="12">
        <v>4.2718098673559163E-2</v>
      </c>
      <c r="M13" s="12">
        <v>4.3906359796488638E-2</v>
      </c>
      <c r="N13" s="13">
        <v>4.9226932276002444E-2</v>
      </c>
      <c r="O13" s="12">
        <f>N13-J13</f>
        <v>2.8762443472925142E-3</v>
      </c>
      <c r="P13" s="14" t="e">
        <f>_xlfn.XLOOKUP(Table9[[#This Row],[کدشعبه ]],[1]!Table28[کد فروشگاه],[1]!Table28[Column1],"*",0)</f>
        <v>#REF!</v>
      </c>
      <c r="Q13" s="12">
        <f>N13-(M13*0.15)</f>
        <v>4.2640978306529145E-2</v>
      </c>
      <c r="R13" s="12">
        <f>Q13-J13</f>
        <v>-3.7097096221807846E-3</v>
      </c>
      <c r="S13" s="15">
        <f>Table9[[#This Row],[تارگت22 مهر]]/Table9[[#This Row],[درصد راکد15مهر]]</f>
        <v>0.86621238283654178</v>
      </c>
      <c r="T13" s="12" t="str">
        <f>IF(J13-N13&gt;=1%,"عالی",IF(J13-N13&gt;=0.5%,"خوب",IF(J13-N13&gt;=0.2%,"متوسط","ضعیف")))</f>
        <v>ضعیف</v>
      </c>
    </row>
    <row r="14" spans="1:20" x14ac:dyDescent="0.3">
      <c r="A14" s="8" t="str">
        <f>VLOOKUP(Table9[[#This Row],[نام شعبه ]],[1]دیتا!E:G,3,0)</f>
        <v>جواد رستمی</v>
      </c>
      <c r="B14" s="9" t="s">
        <v>17</v>
      </c>
      <c r="C14" s="10" t="s">
        <v>18</v>
      </c>
      <c r="D14" s="11">
        <v>956946063</v>
      </c>
      <c r="E14" s="12">
        <v>1.4862852035135959E-2</v>
      </c>
      <c r="F14" s="12">
        <v>1.2054733414911405E-2</v>
      </c>
      <c r="G14" s="12">
        <f>_xlfn.XLOOKUP(Table9[[#This Row],[کدشعبه ]],'[1]60 روزه'!A:A,'[1]60 روزه'!E:E,1)</f>
        <v>1.3622944142512399E-2</v>
      </c>
      <c r="H14" s="12">
        <v>1.2687427054000413E-2</v>
      </c>
      <c r="I14" s="12">
        <v>1.2715529735889811E-2</v>
      </c>
      <c r="J14" s="12">
        <v>1.6315965671526794E-2</v>
      </c>
      <c r="K14" s="12">
        <v>1.9301260886724559E-2</v>
      </c>
      <c r="L14" s="12">
        <v>1.3977291111515728E-2</v>
      </c>
      <c r="M14" s="12">
        <v>1.3622944142512399E-2</v>
      </c>
      <c r="N14" s="13">
        <v>1.5267416915846068E-2</v>
      </c>
      <c r="O14" s="12">
        <f>N14-J14</f>
        <v>-1.0485487556807262E-3</v>
      </c>
      <c r="P14" s="14" t="e">
        <f>_xlfn.XLOOKUP(Table9[[#This Row],[کدشعبه ]],[1]!Table28[کد فروشگاه],[1]!Table28[Column1],"*",0)</f>
        <v>#REF!</v>
      </c>
      <c r="Q14" s="12">
        <f>N14-(M14*0.15)</f>
        <v>1.3223975294469208E-2</v>
      </c>
      <c r="R14" s="12">
        <f>Q14-J14</f>
        <v>-3.0919903770575859E-3</v>
      </c>
      <c r="S14" s="15">
        <f>Table9[[#This Row],[تارگت22 مهر]]/Table9[[#This Row],[درصد راکد15مهر]]</f>
        <v>0.86615668959324943</v>
      </c>
      <c r="T14" s="12" t="str">
        <f>IF(J14-N14&gt;=1%,"عالی",IF(J14-N14&gt;=0.5%,"خوب",IF(J14-N14&gt;=0.2%,"متوسط","ضعیف")))</f>
        <v>ضعیف</v>
      </c>
    </row>
    <row r="15" spans="1:20" x14ac:dyDescent="0.3">
      <c r="A15" s="8" t="str">
        <f>VLOOKUP(Table9[[#This Row],[نام شعبه ]],[1]دیتا!E:G,3,0)</f>
        <v>مرتضی رضایی</v>
      </c>
      <c r="B15" s="9" t="s">
        <v>133</v>
      </c>
      <c r="C15" s="10" t="s">
        <v>134</v>
      </c>
      <c r="D15" s="11">
        <v>1392181092</v>
      </c>
      <c r="E15" s="12">
        <v>1.2015306900021892E-2</v>
      </c>
      <c r="F15" s="12">
        <v>1.117476057857056E-2</v>
      </c>
      <c r="G15" s="12">
        <f>_xlfn.XLOOKUP(Table9[[#This Row],[کدشعبه ]],'[1]60 روزه'!A:A,'[1]60 روزه'!E:E,1)</f>
        <v>2.511555600564366E-2</v>
      </c>
      <c r="H15" s="12">
        <v>1.5036709326762685E-2</v>
      </c>
      <c r="I15" s="12">
        <v>1.2776586337456992E-2</v>
      </c>
      <c r="J15" s="12">
        <v>1.6561368995458708E-2</v>
      </c>
      <c r="K15" s="12">
        <v>2.0865390871171115E-2</v>
      </c>
      <c r="L15" s="12">
        <v>2.5762015888574807E-2</v>
      </c>
      <c r="M15" s="12">
        <v>2.5115556005643653E-2</v>
      </c>
      <c r="N15" s="13">
        <v>2.7524784404465735E-2</v>
      </c>
      <c r="O15" s="12">
        <f>N15-J15</f>
        <v>1.0963415409007027E-2</v>
      </c>
      <c r="P15" s="14" t="e">
        <f>_xlfn.XLOOKUP(Table9[[#This Row],[کدشعبه ]],[1]!Table28[کد فروشگاه],[1]!Table28[Column1],"*",0)</f>
        <v>#REF!</v>
      </c>
      <c r="Q15" s="12">
        <f>N15-(M15*0.15)</f>
        <v>2.3757451003619187E-2</v>
      </c>
      <c r="R15" s="12">
        <f>Q15-J15</f>
        <v>7.1960820081604787E-3</v>
      </c>
      <c r="S15" s="15">
        <f>Table9[[#This Row],[تارگت22 مهر]]/Table9[[#This Row],[درصد راکد15مهر]]</f>
        <v>0.8631294129142999</v>
      </c>
      <c r="T15" s="12" t="str">
        <f>IF(J15-N15&gt;=1%,"عالی",IF(J15-N15&gt;=0.5%,"خوب",IF(J15-N15&gt;=0.2%,"متوسط","ضعیف")))</f>
        <v>ضعیف</v>
      </c>
    </row>
    <row r="16" spans="1:20" x14ac:dyDescent="0.3">
      <c r="A16" s="8" t="str">
        <f>VLOOKUP(Table9[[#This Row],[نام شعبه ]],[1]دیتا!E:G,3,0)</f>
        <v xml:space="preserve">فیاض رحیم زاده </v>
      </c>
      <c r="B16" s="9" t="s">
        <v>143</v>
      </c>
      <c r="C16" s="10" t="s">
        <v>144</v>
      </c>
      <c r="D16" s="11">
        <v>1045496630</v>
      </c>
      <c r="E16" s="12">
        <v>2.44007818705534E-2</v>
      </c>
      <c r="F16" s="12">
        <v>2.540719296251125E-2</v>
      </c>
      <c r="G16" s="12">
        <f>_xlfn.XLOOKUP(Table9[[#This Row],[کدشعبه ]],'[1]60 روزه'!A:A,'[1]60 روزه'!E:E,1)</f>
        <v>2.0558405557724903E-2</v>
      </c>
      <c r="H16" s="12">
        <v>3.0057899207637771E-2</v>
      </c>
      <c r="I16" s="12">
        <v>2.8611361602243448E-2</v>
      </c>
      <c r="J16" s="12">
        <v>2.6048808967699635E-2</v>
      </c>
      <c r="K16" s="12">
        <v>1.7653325053459502E-2</v>
      </c>
      <c r="L16" s="12">
        <v>1.9745984597791214E-2</v>
      </c>
      <c r="M16" s="12">
        <v>2.0558405557724906E-2</v>
      </c>
      <c r="N16" s="13">
        <v>2.2290353747622275E-2</v>
      </c>
      <c r="O16" s="12">
        <f>N16-J16</f>
        <v>-3.7584552200773599E-3</v>
      </c>
      <c r="P16" s="14" t="e">
        <f>_xlfn.XLOOKUP(Table9[[#This Row],[کدشعبه ]],[1]!Table28[کد فروشگاه],[1]!Table28[Column1],"*",0)</f>
        <v>#REF!</v>
      </c>
      <c r="Q16" s="12">
        <f>N16-(M16*0.15)</f>
        <v>1.9206592913963538E-2</v>
      </c>
      <c r="R16" s="12">
        <f>Q16-J16</f>
        <v>-6.8422160537360971E-3</v>
      </c>
      <c r="S16" s="15">
        <f>Table9[[#This Row],[تارگت22 مهر]]/Table9[[#This Row],[درصد راکد15مهر]]</f>
        <v>0.86165491725371635</v>
      </c>
      <c r="T16" s="12" t="str">
        <f>IF(J16-N16&gt;=1%,"عالی",IF(J16-N16&gt;=0.5%,"خوب",IF(J16-N16&gt;=0.2%,"متوسط","ضعیف")))</f>
        <v>متوسط</v>
      </c>
    </row>
    <row r="17" spans="1:20" x14ac:dyDescent="0.3">
      <c r="A17" s="8" t="str">
        <f>VLOOKUP(Table9[[#This Row],[نام شعبه ]],[1]دیتا!E:G,3,0)</f>
        <v>علی ابراهیمی نیا</v>
      </c>
      <c r="B17" s="9" t="s">
        <v>43</v>
      </c>
      <c r="C17" s="10" t="s">
        <v>44</v>
      </c>
      <c r="D17" s="11">
        <v>1430264687</v>
      </c>
      <c r="E17" s="12">
        <v>1.5965372878998907E-2</v>
      </c>
      <c r="F17" s="12">
        <v>1.5455770665209541E-2</v>
      </c>
      <c r="G17" s="12">
        <f>_xlfn.XLOOKUP(Table9[[#This Row],[کدشعبه ]],'[1]60 روزه'!A:A,'[1]60 روزه'!E:E,1)</f>
        <v>2.2224868947061438E-2</v>
      </c>
      <c r="H17" s="12">
        <v>1.565404064477122E-2</v>
      </c>
      <c r="I17" s="12">
        <v>1.768759886365999E-2</v>
      </c>
      <c r="J17" s="12">
        <v>2.4382984764901243E-2</v>
      </c>
      <c r="K17" s="12">
        <v>2.5798345262280989E-2</v>
      </c>
      <c r="L17" s="12">
        <v>2.4227144792950402E-2</v>
      </c>
      <c r="M17" s="12">
        <v>2.2224868947061459E-2</v>
      </c>
      <c r="N17" s="13">
        <v>2.3937792228497026E-2</v>
      </c>
      <c r="O17" s="12">
        <f>N17-J17</f>
        <v>-4.4519253640421669E-4</v>
      </c>
      <c r="P17" s="14" t="e">
        <f>_xlfn.XLOOKUP(Table9[[#This Row],[کدشعبه ]],[1]!Table28[کد فروشگاه],[1]!Table28[Column1],"*",0)</f>
        <v>#REF!</v>
      </c>
      <c r="Q17" s="12">
        <f>N17-(M17*0.15)</f>
        <v>2.0604061886437808E-2</v>
      </c>
      <c r="R17" s="12">
        <f>Q17-J17</f>
        <v>-3.7789228784634345E-3</v>
      </c>
      <c r="S17" s="15">
        <f>Table9[[#This Row],[تارگت22 مهر]]/Table9[[#This Row],[درصد راکد15مهر]]</f>
        <v>0.86073359187692589</v>
      </c>
      <c r="T17" s="12" t="str">
        <f>IF(J17-N17&gt;=1%,"عالی",IF(J17-N17&gt;=0.5%,"خوب",IF(J17-N17&gt;=0.2%,"متوسط","ضعیف")))</f>
        <v>ضعیف</v>
      </c>
    </row>
    <row r="18" spans="1:20" x14ac:dyDescent="0.3">
      <c r="A18" s="8" t="str">
        <f>VLOOKUP(Table9[[#This Row],[نام شعبه ]],[1]دیتا!E:G,3,0)</f>
        <v>محسن ملکی</v>
      </c>
      <c r="B18" s="9" t="s">
        <v>55</v>
      </c>
      <c r="C18" s="10" t="s">
        <v>56</v>
      </c>
      <c r="D18" s="11">
        <v>2116436964</v>
      </c>
      <c r="E18" s="12">
        <v>4.4039134442364805E-2</v>
      </c>
      <c r="F18" s="12">
        <v>4.4988060230685696E-2</v>
      </c>
      <c r="G18" s="12">
        <f>_xlfn.XLOOKUP(Table9[[#This Row],[کدشعبه ]],'[1]60 روزه'!A:A,'[1]60 روزه'!E:E,1)</f>
        <v>3.3406204477624629E-2</v>
      </c>
      <c r="H18" s="12">
        <v>4.4497209308485566E-2</v>
      </c>
      <c r="I18" s="12">
        <v>4.7937833816530551E-2</v>
      </c>
      <c r="J18" s="12">
        <v>4.1459578641909529E-2</v>
      </c>
      <c r="K18" s="12">
        <v>4.3195632330545651E-2</v>
      </c>
      <c r="L18" s="12">
        <v>4.267372038508558E-2</v>
      </c>
      <c r="M18" s="12">
        <v>3.3406204477624629E-2</v>
      </c>
      <c r="N18" s="13">
        <v>3.5957260864217612E-2</v>
      </c>
      <c r="O18" s="12">
        <f>N18-J18</f>
        <v>-5.5023177776919174E-3</v>
      </c>
      <c r="P18" s="14" t="e">
        <f>_xlfn.XLOOKUP(Table9[[#This Row],[کدشعبه ]],[1]!Table28[کد فروشگاه],[1]!Table28[Column1],"*",0)</f>
        <v>#REF!</v>
      </c>
      <c r="Q18" s="12">
        <f>N18-(M18*0.15)</f>
        <v>3.0946330192573916E-2</v>
      </c>
      <c r="R18" s="12">
        <f>Q18-J18</f>
        <v>-1.0513248449335613E-2</v>
      </c>
      <c r="S18" s="15">
        <f>Table9[[#This Row],[تارگت22 مهر]]/Table9[[#This Row],[درصد راکد15مهر]]</f>
        <v>0.86064203581674215</v>
      </c>
      <c r="T18" s="12" t="str">
        <f>IF(J18-N18&gt;=1%,"عالی",IF(J18-N18&gt;=0.5%,"خوب",IF(J18-N18&gt;=0.2%,"متوسط","ضعیف")))</f>
        <v>خوب</v>
      </c>
    </row>
    <row r="19" spans="1:20" x14ac:dyDescent="0.3">
      <c r="A19" s="8" t="str">
        <f>VLOOKUP(Table9[[#This Row],[نام شعبه ]],[1]دیتا!E:G,3,0)</f>
        <v>محسن ملکی</v>
      </c>
      <c r="B19" s="9" t="s">
        <v>111</v>
      </c>
      <c r="C19" s="10" t="s">
        <v>112</v>
      </c>
      <c r="D19" s="11">
        <v>1555778848</v>
      </c>
      <c r="E19" s="12">
        <v>1.8631890578211067E-2</v>
      </c>
      <c r="F19" s="12">
        <v>2.2329385720259463E-2</v>
      </c>
      <c r="G19" s="12">
        <f>_xlfn.XLOOKUP(Table9[[#This Row],[کدشعبه ]],'[1]60 روزه'!A:A,'[1]60 روزه'!E:E,1)</f>
        <v>2.2961610580627179E-2</v>
      </c>
      <c r="H19" s="12">
        <v>2.2417081333993425E-2</v>
      </c>
      <c r="I19" s="12">
        <v>2.4161888685799306E-2</v>
      </c>
      <c r="J19" s="12">
        <v>3.9613375011126828E-2</v>
      </c>
      <c r="K19" s="12">
        <v>2.7035005335695909E-2</v>
      </c>
      <c r="L19" s="12">
        <v>2.7022149060532047E-2</v>
      </c>
      <c r="M19" s="12">
        <v>2.2961610580627175E-2</v>
      </c>
      <c r="N19" s="13">
        <v>2.4630782777356204E-2</v>
      </c>
      <c r="O19" s="12">
        <f>N19-J19</f>
        <v>-1.4982592233770624E-2</v>
      </c>
      <c r="P19" s="14" t="e">
        <f>_xlfn.XLOOKUP(Table9[[#This Row],[کدشعبه ]],[1]!Table28[کد فروشگاه],[1]!Table28[Column1],"*",0)</f>
        <v>#REF!</v>
      </c>
      <c r="Q19" s="12">
        <f>N19-(M19*0.15)</f>
        <v>2.1186541190262129E-2</v>
      </c>
      <c r="R19" s="12">
        <f>Q19-J19</f>
        <v>-1.8426833820864699E-2</v>
      </c>
      <c r="S19" s="15">
        <f>Table9[[#This Row],[تارگت22 مهر]]/Table9[[#This Row],[درصد راکد15مهر]]</f>
        <v>0.86016515925509007</v>
      </c>
      <c r="T19" s="12" t="str">
        <f>IF(J19-N19&gt;=1%,"عالی",IF(J19-N19&gt;=0.5%,"خوب",IF(J19-N19&gt;=0.2%,"متوسط","ضعیف")))</f>
        <v>عالی</v>
      </c>
    </row>
    <row r="20" spans="1:20" x14ac:dyDescent="0.3">
      <c r="A20" s="8" t="str">
        <f>VLOOKUP(Table9[[#This Row],[نام شعبه ]],[1]دیتا!E:G,3,0)</f>
        <v>مرتضی رضایی</v>
      </c>
      <c r="B20" s="9" t="s">
        <v>29</v>
      </c>
      <c r="C20" s="10" t="s">
        <v>30</v>
      </c>
      <c r="D20" s="11">
        <v>777695097</v>
      </c>
      <c r="E20" s="12">
        <v>1.1465640293129241E-2</v>
      </c>
      <c r="F20" s="12">
        <v>8.6177035912614539E-3</v>
      </c>
      <c r="G20" s="12">
        <f>_xlfn.XLOOKUP(Table9[[#This Row],[کدشعبه ]],'[1]60 روزه'!A:A,'[1]60 روزه'!E:E,1)</f>
        <v>1.2050414958271681E-2</v>
      </c>
      <c r="H20" s="12">
        <v>1.106732349533175E-2</v>
      </c>
      <c r="I20" s="12">
        <v>1.0958509832488474E-2</v>
      </c>
      <c r="J20" s="12">
        <v>1.0910992206114096E-2</v>
      </c>
      <c r="K20" s="12">
        <v>1.7478987161630898E-2</v>
      </c>
      <c r="L20" s="12">
        <v>1.5644270422283557E-2</v>
      </c>
      <c r="M20" s="12">
        <v>1.2050414958271681E-2</v>
      </c>
      <c r="N20" s="13">
        <v>1.2918050738788987E-2</v>
      </c>
      <c r="O20" s="12">
        <f>N20-J20</f>
        <v>2.0070585326748911E-3</v>
      </c>
      <c r="P20" s="14" t="e">
        <f>_xlfn.XLOOKUP(Table9[[#This Row],[کدشعبه ]],[1]!Table28[کد فروشگاه],[1]!Table28[Column1],"*",0)</f>
        <v>#REF!</v>
      </c>
      <c r="Q20" s="12">
        <f>N20-(M20*0.15)</f>
        <v>1.1110488495048235E-2</v>
      </c>
      <c r="R20" s="12">
        <f>Q20-J20</f>
        <v>1.9949628893413916E-4</v>
      </c>
      <c r="S20" s="15">
        <f>Table9[[#This Row],[تارگت22 مهر]]/Table9[[#This Row],[درصد راکد15مهر]]</f>
        <v>0.86007469081126997</v>
      </c>
      <c r="T20" s="12" t="str">
        <f>IF(J20-N20&gt;=1%,"عالی",IF(J20-N20&gt;=0.5%,"خوب",IF(J20-N20&gt;=0.2%,"متوسط","ضعیف")))</f>
        <v>ضعیف</v>
      </c>
    </row>
    <row r="21" spans="1:20" x14ac:dyDescent="0.3">
      <c r="A21" s="8" t="str">
        <f>VLOOKUP(Table9[[#This Row],[نام شعبه ]],[1]دیتا!E:G,3,0)</f>
        <v xml:space="preserve">فیاض رحیم زاده </v>
      </c>
      <c r="B21" s="9" t="s">
        <v>37</v>
      </c>
      <c r="C21" s="10" t="s">
        <v>38</v>
      </c>
      <c r="D21" s="11">
        <v>558139050</v>
      </c>
      <c r="E21" s="12">
        <v>9.771302132155029E-3</v>
      </c>
      <c r="F21" s="12">
        <v>1.0337077211290556E-2</v>
      </c>
      <c r="G21" s="12">
        <f>_xlfn.XLOOKUP(Table9[[#This Row],[کدشعبه ]],'[1]60 روزه'!A:A,'[1]60 روزه'!E:E,1)</f>
        <v>5.9926222457833177E-3</v>
      </c>
      <c r="H21" s="12">
        <v>7.7894231967381988E-3</v>
      </c>
      <c r="I21" s="12">
        <v>9.297423241421663E-3</v>
      </c>
      <c r="J21" s="12">
        <v>9.8294728683716876E-3</v>
      </c>
      <c r="K21" s="12">
        <v>9.6352857470355935E-3</v>
      </c>
      <c r="L21" s="12">
        <v>8.5516075908348872E-3</v>
      </c>
      <c r="M21" s="12">
        <v>5.9926222457833168E-3</v>
      </c>
      <c r="N21" s="13">
        <v>6.4190244101954459E-3</v>
      </c>
      <c r="O21" s="12">
        <f>N21-J21</f>
        <v>-3.4104484581762417E-3</v>
      </c>
      <c r="P21" s="14" t="e">
        <f>_xlfn.XLOOKUP(Table9[[#This Row],[کدشعبه ]],[1]!Table28[کد فروشگاه],[1]!Table28[Column1],"*",0)</f>
        <v>#REF!</v>
      </c>
      <c r="Q21" s="12">
        <f>N21-(M21*0.15)</f>
        <v>5.5201310733279489E-3</v>
      </c>
      <c r="R21" s="12">
        <f>Q21-J21</f>
        <v>-4.3093417950437387E-3</v>
      </c>
      <c r="S21" s="15">
        <f>Table9[[#This Row],[تارگت22 مهر]]/Table9[[#This Row],[درصد راکد15مهر]]</f>
        <v>0.85996418156008736</v>
      </c>
      <c r="T21" s="12" t="str">
        <f>IF(J21-N21&gt;=1%,"عالی",IF(J21-N21&gt;=0.5%,"خوب",IF(J21-N21&gt;=0.2%,"متوسط","ضعیف")))</f>
        <v>متوسط</v>
      </c>
    </row>
    <row r="22" spans="1:20" x14ac:dyDescent="0.3">
      <c r="A22" s="8" t="str">
        <f>VLOOKUP(Table9[[#This Row],[نام شعبه ]],[1]دیتا!E:G,3,0)</f>
        <v>مصطفی سیفی</v>
      </c>
      <c r="B22" s="9" t="s">
        <v>65</v>
      </c>
      <c r="C22" s="10" t="s">
        <v>66</v>
      </c>
      <c r="D22" s="11">
        <v>1687400142</v>
      </c>
      <c r="E22" s="12">
        <v>2.4804959256832373E-2</v>
      </c>
      <c r="F22" s="12">
        <v>2.3144785448424444E-2</v>
      </c>
      <c r="G22" s="12">
        <f>_xlfn.XLOOKUP(Table9[[#This Row],[کدشعبه ]],'[1]60 روزه'!A:A,'[1]60 روزه'!E:E,1)</f>
        <v>2.4000048661344409E-2</v>
      </c>
      <c r="H22" s="12">
        <v>2.5983601219271055E-2</v>
      </c>
      <c r="I22" s="12">
        <v>2.5839213038088543E-2</v>
      </c>
      <c r="J22" s="12">
        <v>2.5522351548439851E-2</v>
      </c>
      <c r="K22" s="12">
        <v>2.5806415152166858E-2</v>
      </c>
      <c r="L22" s="12">
        <v>2.550740085696011E-2</v>
      </c>
      <c r="M22" s="12">
        <v>2.4000048661344409E-2</v>
      </c>
      <c r="N22" s="13">
        <v>2.5462531749205004E-2</v>
      </c>
      <c r="O22" s="12">
        <f>N22-J22</f>
        <v>-5.9819799234847593E-5</v>
      </c>
      <c r="P22" s="14" t="e">
        <f>_xlfn.XLOOKUP(Table9[[#This Row],[کدشعبه ]],[1]!Table28[کد فروشگاه],[1]!Table28[Column1],"*",0)</f>
        <v>#REF!</v>
      </c>
      <c r="Q22" s="12">
        <f>N22-(M22*0.15)</f>
        <v>2.1862524450003341E-2</v>
      </c>
      <c r="R22" s="12">
        <f>Q22-J22</f>
        <v>-3.6598270984365099E-3</v>
      </c>
      <c r="S22" s="15">
        <f>Table9[[#This Row],[تارگت22 مهر]]/Table9[[#This Row],[درصد راکد15مهر]]</f>
        <v>0.85861550082057092</v>
      </c>
      <c r="T22" s="12" t="str">
        <f>IF(J22-N22&gt;=1%,"عالی",IF(J22-N22&gt;=0.5%,"خوب",IF(J22-N22&gt;=0.2%,"متوسط","ضعیف")))</f>
        <v>ضعیف</v>
      </c>
    </row>
    <row r="23" spans="1:20" x14ac:dyDescent="0.3">
      <c r="A23" s="8" t="str">
        <f>VLOOKUP(Table9[[#This Row],[نام شعبه ]],[1]دیتا!E:G,3,0)</f>
        <v>محسن ملکی</v>
      </c>
      <c r="B23" s="9" t="s">
        <v>63</v>
      </c>
      <c r="C23" s="10" t="s">
        <v>64</v>
      </c>
      <c r="D23" s="11">
        <v>3046690829</v>
      </c>
      <c r="E23" s="12">
        <v>0.11716824282797168</v>
      </c>
      <c r="F23" s="12">
        <v>0.12127874264310586</v>
      </c>
      <c r="G23" s="12">
        <f>_xlfn.XLOOKUP(Table9[[#This Row],[کدشعبه ]],'[1]60 روزه'!A:A,'[1]60 روزه'!E:E,1)</f>
        <v>6.1833387557852448E-2</v>
      </c>
      <c r="H23" s="12">
        <v>0.10626264489758565</v>
      </c>
      <c r="I23" s="12">
        <v>0.10464866004291221</v>
      </c>
      <c r="J23" s="12">
        <v>6.1113037706246473E-2</v>
      </c>
      <c r="K23" s="12">
        <v>7.3588779804214674E-2</v>
      </c>
      <c r="L23" s="12">
        <v>7.4748808394540081E-2</v>
      </c>
      <c r="M23" s="12">
        <v>6.1833387557852511E-2</v>
      </c>
      <c r="N23" s="13">
        <v>6.4009661254744346E-2</v>
      </c>
      <c r="O23" s="12">
        <f>N23-J23</f>
        <v>2.8966235484978731E-3</v>
      </c>
      <c r="P23" s="14" t="e">
        <f>_xlfn.XLOOKUP(Table9[[#This Row],[کدشعبه ]],[1]!Table28[کد فروشگاه],[1]!Table28[Column1],"*",0)</f>
        <v>#REF!</v>
      </c>
      <c r="Q23" s="12">
        <f>N23-(M23*0.15)</f>
        <v>5.4734653121066471E-2</v>
      </c>
      <c r="R23" s="12">
        <f>Q23-J23</f>
        <v>-6.3783845851800025E-3</v>
      </c>
      <c r="S23" s="15">
        <f>Table9[[#This Row],[تارگت22 مهر]]/Table9[[#This Row],[درصد راکد15مهر]]</f>
        <v>0.85509987161523338</v>
      </c>
      <c r="T23" s="12" t="str">
        <f>IF(J23-N23&gt;=1%,"عالی",IF(J23-N23&gt;=0.5%,"خوب",IF(J23-N23&gt;=0.2%,"متوسط","ضعیف")))</f>
        <v>ضعیف</v>
      </c>
    </row>
    <row r="24" spans="1:20" x14ac:dyDescent="0.3">
      <c r="A24" s="8" t="str">
        <f>VLOOKUP(Table9[[#This Row],[نام شعبه ]],[1]دیتا!E:G,3,0)</f>
        <v>علی ابراهیمی نیا</v>
      </c>
      <c r="B24" s="9" t="s">
        <v>33</v>
      </c>
      <c r="C24" s="10" t="s">
        <v>34</v>
      </c>
      <c r="D24" s="11">
        <v>578775148</v>
      </c>
      <c r="E24" s="12">
        <v>6.6431250863921345E-3</v>
      </c>
      <c r="F24" s="12">
        <v>5.9467733684897012E-3</v>
      </c>
      <c r="G24" s="12">
        <f>_xlfn.XLOOKUP(Table9[[#This Row],[کدشعبه ]],'[1]60 روزه'!A:A,'[1]60 روزه'!E:E,1)</f>
        <v>7.9436124173153395E-3</v>
      </c>
      <c r="H24" s="12">
        <v>7.6578001600167518E-3</v>
      </c>
      <c r="I24" s="12">
        <v>9.3060185691874568E-3</v>
      </c>
      <c r="J24" s="12">
        <v>6.8137076632191181E-3</v>
      </c>
      <c r="K24" s="12">
        <v>8.6163711256992959E-3</v>
      </c>
      <c r="L24" s="12">
        <v>7.8825477640676947E-3</v>
      </c>
      <c r="M24" s="12">
        <v>7.9436124173153395E-3</v>
      </c>
      <c r="N24" s="13">
        <v>8.204956540930116E-3</v>
      </c>
      <c r="O24" s="12">
        <f>N24-J24</f>
        <v>1.3912488777109979E-3</v>
      </c>
      <c r="P24" s="14" t="e">
        <f>_xlfn.XLOOKUP(Table9[[#This Row],[کدشعبه ]],[1]!Table28[کد فروشگاه],[1]!Table28[Column1],"*",0)</f>
        <v>#REF!</v>
      </c>
      <c r="Q24" s="12">
        <f>N24-(M24*0.15)</f>
        <v>7.0134146783328152E-3</v>
      </c>
      <c r="R24" s="12">
        <f>Q24-J24</f>
        <v>1.9970701511369711E-4</v>
      </c>
      <c r="S24" s="15">
        <f>Table9[[#This Row],[تارگت22 مهر]]/Table9[[#This Row],[درصد راکد15مهر]]</f>
        <v>0.85477779721887137</v>
      </c>
      <c r="T24" s="12" t="str">
        <f>IF(J24-N24&gt;=1%,"عالی",IF(J24-N24&gt;=0.5%,"خوب",IF(J24-N24&gt;=0.2%,"متوسط","ضعیف")))</f>
        <v>ضعیف</v>
      </c>
    </row>
    <row r="25" spans="1:20" x14ac:dyDescent="0.3">
      <c r="A25" s="8" t="str">
        <f>VLOOKUP(Table9[[#This Row],[نام شعبه ]],[1]دیتا!E:G,3,0)</f>
        <v>محسن ملکی</v>
      </c>
      <c r="B25" s="9" t="s">
        <v>49</v>
      </c>
      <c r="C25" s="10" t="s">
        <v>50</v>
      </c>
      <c r="D25" s="11">
        <v>4494736680</v>
      </c>
      <c r="E25" s="12">
        <v>0.11507393276676733</v>
      </c>
      <c r="F25" s="12">
        <v>0.11879398731155968</v>
      </c>
      <c r="G25" s="12">
        <f>_xlfn.XLOOKUP(Table9[[#This Row],[کدشعبه ]],'[1]60 روزه'!A:A,'[1]60 روزه'!E:E,1)</f>
        <v>8.9414735898216163E-2</v>
      </c>
      <c r="H25" s="12">
        <v>0.10835773689202234</v>
      </c>
      <c r="I25" s="12">
        <v>0.10929536713765481</v>
      </c>
      <c r="J25" s="12">
        <v>7.98257176886773E-2</v>
      </c>
      <c r="K25" s="12">
        <v>8.6351525974118104E-2</v>
      </c>
      <c r="L25" s="12">
        <v>8.5337276070161477E-2</v>
      </c>
      <c r="M25" s="12">
        <v>8.9414735898216136E-2</v>
      </c>
      <c r="N25" s="13">
        <v>9.1417420898384921E-2</v>
      </c>
      <c r="O25" s="12">
        <f>N25-J25</f>
        <v>1.1591703209707621E-2</v>
      </c>
      <c r="P25" s="14" t="e">
        <f>_xlfn.XLOOKUP(Table9[[#This Row],[کدشعبه ]],[1]!Table28[کد فروشگاه],[1]!Table28[Column1],"*",0)</f>
        <v>#REF!</v>
      </c>
      <c r="Q25" s="12">
        <f>N25-(M25*0.15)</f>
        <v>7.8005210513652501E-2</v>
      </c>
      <c r="R25" s="12">
        <f>Q25-J25</f>
        <v>-1.8205071750247992E-3</v>
      </c>
      <c r="S25" s="15">
        <f>Table9[[#This Row],[تارگت22 مهر]]/Table9[[#This Row],[درصد راکد15مهر]]</f>
        <v>0.85328605584223638</v>
      </c>
      <c r="T25" s="12" t="str">
        <f>IF(J25-N25&gt;=1%,"عالی",IF(J25-N25&gt;=0.5%,"خوب",IF(J25-N25&gt;=0.2%,"متوسط","ضعیف")))</f>
        <v>ضعیف</v>
      </c>
    </row>
    <row r="26" spans="1:20" x14ac:dyDescent="0.3">
      <c r="A26" s="8" t="str">
        <f>VLOOKUP(Table9[[#This Row],[نام شعبه ]],[1]دیتا!E:G,3,0)</f>
        <v xml:space="preserve">فیاض رحیم زاده </v>
      </c>
      <c r="B26" s="9" t="s">
        <v>149</v>
      </c>
      <c r="C26" s="10" t="s">
        <v>150</v>
      </c>
      <c r="D26" s="11">
        <v>1788361371</v>
      </c>
      <c r="E26" s="12">
        <v>2.0531032924071064E-2</v>
      </c>
      <c r="F26" s="12">
        <v>2.0334463252475451E-2</v>
      </c>
      <c r="G26" s="12">
        <f>_xlfn.XLOOKUP(Table9[[#This Row],[کدشعبه ]],'[1]60 روزه'!A:A,'[1]60 روزه'!E:E,1)</f>
        <v>3.2503260582758785E-2</v>
      </c>
      <c r="H26" s="12">
        <v>2.2883028902398954E-2</v>
      </c>
      <c r="I26" s="12">
        <v>2.5659947829995412E-2</v>
      </c>
      <c r="J26" s="12">
        <v>2.6558268387869156E-2</v>
      </c>
      <c r="K26" s="12">
        <v>2.3130160833910722E-2</v>
      </c>
      <c r="L26" s="12">
        <v>3.0449397002361749E-2</v>
      </c>
      <c r="M26" s="12">
        <v>3.2503260582758785E-2</v>
      </c>
      <c r="N26" s="13">
        <v>3.2971728939097195E-2</v>
      </c>
      <c r="O26" s="12">
        <f>N26-J26</f>
        <v>6.4134605512280382E-3</v>
      </c>
      <c r="P26" s="14" t="e">
        <f>_xlfn.XLOOKUP(Table9[[#This Row],[کدشعبه ]],[1]!Table28[کد فروشگاه],[1]!Table28[Column1],"*",0)</f>
        <v>#REF!</v>
      </c>
      <c r="Q26" s="12">
        <f>N26-(M26*0.15)</f>
        <v>2.8096239851683379E-2</v>
      </c>
      <c r="R26" s="12">
        <f>Q26-J26</f>
        <v>1.5379714638142222E-3</v>
      </c>
      <c r="S26" s="15">
        <f>Table9[[#This Row],[تارگت22 مهر]]/Table9[[#This Row],[درصد راکد15مهر]]</f>
        <v>0.85213122743974268</v>
      </c>
      <c r="T26" s="12" t="str">
        <f>IF(J26-N26&gt;=1%,"عالی",IF(J26-N26&gt;=0.5%,"خوب",IF(J26-N26&gt;=0.2%,"متوسط","ضعیف")))</f>
        <v>ضعیف</v>
      </c>
    </row>
    <row r="27" spans="1:20" x14ac:dyDescent="0.3">
      <c r="A27" s="8" t="str">
        <f>VLOOKUP(Table9[[#This Row],[نام شعبه ]],[1]دیتا!E:G,3,0)</f>
        <v xml:space="preserve">فیاض رحیم زاده </v>
      </c>
      <c r="B27" s="9" t="s">
        <v>125</v>
      </c>
      <c r="C27" s="10" t="s">
        <v>126</v>
      </c>
      <c r="D27" s="11">
        <v>1132897484</v>
      </c>
      <c r="E27" s="12">
        <v>9.4402956579390553E-3</v>
      </c>
      <c r="F27" s="12">
        <v>8.5714063905163486E-3</v>
      </c>
      <c r="G27" s="12">
        <f>_xlfn.XLOOKUP(Table9[[#This Row],[کدشعبه ]],'[1]60 روزه'!A:A,'[1]60 روزه'!E:E,1)</f>
        <v>1.4786596545006997E-2</v>
      </c>
      <c r="H27" s="12">
        <v>9.8505467852054822E-3</v>
      </c>
      <c r="I27" s="12">
        <v>8.8968097621738764E-3</v>
      </c>
      <c r="J27" s="12">
        <v>8.6507419086034806E-3</v>
      </c>
      <c r="K27" s="12">
        <v>7.1719491984005108E-3</v>
      </c>
      <c r="L27" s="12">
        <v>7.8008051023055582E-3</v>
      </c>
      <c r="M27" s="12">
        <v>1.4786596545006999E-2</v>
      </c>
      <c r="N27" s="13">
        <v>1.4831252441698332E-2</v>
      </c>
      <c r="O27" s="12">
        <f>N27-J27</f>
        <v>6.1805105330948514E-3</v>
      </c>
      <c r="P27" s="14" t="e">
        <f>_xlfn.XLOOKUP(Table9[[#This Row],[کدشعبه ]],[1]!Table28[کد فروشگاه],[1]!Table28[Column1],"*",0)</f>
        <v>#REF!</v>
      </c>
      <c r="Q27" s="12">
        <f>N27-(M27*0.15)</f>
        <v>1.2613262959947281E-2</v>
      </c>
      <c r="R27" s="12">
        <f>Q27-J27</f>
        <v>3.9625210513438008E-3</v>
      </c>
      <c r="S27" s="15">
        <f>Table9[[#This Row],[تارگت22 مهر]]/Table9[[#This Row],[درصد راکد15مهر]]</f>
        <v>0.85045163984161354</v>
      </c>
      <c r="T27" s="12" t="str">
        <f>IF(J27-N27&gt;=1%,"عالی",IF(J27-N27&gt;=0.5%,"خوب",IF(J27-N27&gt;=0.2%,"متوسط","ضعیف")))</f>
        <v>ضعیف</v>
      </c>
    </row>
    <row r="28" spans="1:20" x14ac:dyDescent="0.3">
      <c r="A28" s="8" t="str">
        <f>VLOOKUP(Table9[[#This Row],[نام شعبه ]],[1]دیتا!E:G,3,0)</f>
        <v>جواد رستمی</v>
      </c>
      <c r="B28" s="9" t="s">
        <v>97</v>
      </c>
      <c r="C28" s="10" t="s">
        <v>98</v>
      </c>
      <c r="D28" s="11">
        <v>1354469955</v>
      </c>
      <c r="E28" s="12">
        <v>2.8713941007306731E-2</v>
      </c>
      <c r="F28" s="12">
        <v>2.9669130351979631E-2</v>
      </c>
      <c r="G28" s="12">
        <f>_xlfn.XLOOKUP(Table9[[#This Row],[کدشعبه ]],'[1]60 روزه'!A:A,'[1]60 روزه'!E:E,1)</f>
        <v>2.916244998672066E-2</v>
      </c>
      <c r="H28" s="12">
        <v>2.6725673611818237E-2</v>
      </c>
      <c r="I28" s="12">
        <v>2.3979075495154139E-2</v>
      </c>
      <c r="J28" s="12">
        <v>3.3406349159980017E-2</v>
      </c>
      <c r="K28" s="12">
        <v>2.9433430950646124E-2</v>
      </c>
      <c r="L28" s="12">
        <v>2.9880122465501056E-2</v>
      </c>
      <c r="M28" s="12">
        <v>2.916244998672066E-2</v>
      </c>
      <c r="N28" s="13">
        <v>2.9113919852523693E-2</v>
      </c>
      <c r="O28" s="12">
        <f>N28-J28</f>
        <v>-4.2924293074563247E-3</v>
      </c>
      <c r="P28" s="14" t="e">
        <f>_xlfn.XLOOKUP(Table9[[#This Row],[کدشعبه ]],[1]!Table28[کد فروشگاه],[1]!Table28[Column1],"*",0)</f>
        <v>#REF!</v>
      </c>
      <c r="Q28" s="12">
        <f>N28-(M28*0.15)</f>
        <v>2.4739552354515595E-2</v>
      </c>
      <c r="R28" s="12">
        <f>Q28-J28</f>
        <v>-8.6667968054644218E-3</v>
      </c>
      <c r="S28" s="15">
        <f>Table9[[#This Row],[تارگت22 مهر]]/Table9[[#This Row],[درصد راکد15مهر]]</f>
        <v>0.84974996427253979</v>
      </c>
      <c r="T28" s="12" t="str">
        <f>IF(J28-N28&gt;=1%,"عالی",IF(J28-N28&gt;=0.5%,"خوب",IF(J28-N28&gt;=0.2%,"متوسط","ضعیف")))</f>
        <v>متوسط</v>
      </c>
    </row>
    <row r="29" spans="1:20" x14ac:dyDescent="0.3">
      <c r="A29" s="8" t="str">
        <f>VLOOKUP(Table9[[#This Row],[نام شعبه ]],[1]دیتا!E:G,3,0)</f>
        <v>محمد شاکری</v>
      </c>
      <c r="B29" s="9" t="s">
        <v>47</v>
      </c>
      <c r="C29" s="10" t="s">
        <v>48</v>
      </c>
      <c r="D29" s="11">
        <v>1996176748</v>
      </c>
      <c r="E29" s="12">
        <v>4.2840820188994641E-2</v>
      </c>
      <c r="F29" s="12">
        <v>4.6759390053878885E-2</v>
      </c>
      <c r="G29" s="12">
        <f>_xlfn.XLOOKUP(Table9[[#This Row],[کدشعبه ]],'[1]60 روزه'!A:A,'[1]60 روزه'!E:E,1)</f>
        <v>3.7903594537086659E-2</v>
      </c>
      <c r="H29" s="12">
        <v>5.1569991099915127E-2</v>
      </c>
      <c r="I29" s="12">
        <v>5.4454218405267776E-2</v>
      </c>
      <c r="J29" s="12">
        <v>4.5619089682310605E-2</v>
      </c>
      <c r="K29" s="12">
        <v>4.5282559233464595E-2</v>
      </c>
      <c r="L29" s="12">
        <v>4.3115769148315136E-2</v>
      </c>
      <c r="M29" s="12">
        <v>3.79035945370867E-2</v>
      </c>
      <c r="N29" s="13">
        <v>3.7533454245243271E-2</v>
      </c>
      <c r="O29" s="12">
        <f>N29-J29</f>
        <v>-8.0856354370673345E-3</v>
      </c>
      <c r="P29" s="14" t="e">
        <f>_xlfn.XLOOKUP(Table9[[#This Row],[کدشعبه ]],[1]!Table28[کد فروشگاه],[1]!Table28[Column1],"*",0)</f>
        <v>#REF!</v>
      </c>
      <c r="Q29" s="12">
        <f>N29-(M29*0.15)</f>
        <v>3.1847915064680266E-2</v>
      </c>
      <c r="R29" s="12">
        <f>Q29-J29</f>
        <v>-1.377117461763034E-2</v>
      </c>
      <c r="S29" s="15">
        <f>Table9[[#This Row],[تارگت22 مهر]]/Table9[[#This Row],[درصد راکد15مهر]]</f>
        <v>0.84852075848351871</v>
      </c>
      <c r="T29" s="12" t="str">
        <f>IF(J29-N29&gt;=1%,"عالی",IF(J29-N29&gt;=0.5%,"خوب",IF(J29-N29&gt;=0.2%,"متوسط","ضعیف")))</f>
        <v>خوب</v>
      </c>
    </row>
    <row r="30" spans="1:20" x14ac:dyDescent="0.3">
      <c r="A30" s="8" t="str">
        <f>VLOOKUP(Table9[[#This Row],[نام شعبه ]],[1]دیتا!E:G,3,0)</f>
        <v xml:space="preserve">فیاض رحیم زاده </v>
      </c>
      <c r="B30" s="9" t="s">
        <v>123</v>
      </c>
      <c r="C30" s="10" t="s">
        <v>124</v>
      </c>
      <c r="D30" s="11">
        <v>345506567</v>
      </c>
      <c r="E30" s="12">
        <v>6.4450840615157311E-3</v>
      </c>
      <c r="F30" s="12">
        <v>6.237511748270648E-3</v>
      </c>
      <c r="G30" s="12">
        <f>_xlfn.XLOOKUP(Table9[[#This Row],[کدشعبه ]],'[1]60 روزه'!A:A,'[1]60 روزه'!E:E,1)</f>
        <v>4.597831253235457E-3</v>
      </c>
      <c r="H30" s="12">
        <v>6.2662076251845111E-3</v>
      </c>
      <c r="I30" s="12">
        <v>6.2214944742714747E-3</v>
      </c>
      <c r="J30" s="12">
        <v>1.1071428399248129E-2</v>
      </c>
      <c r="K30" s="12">
        <v>5.7434849182006588E-3</v>
      </c>
      <c r="L30" s="12">
        <v>5.400038191406358E-3</v>
      </c>
      <c r="M30" s="12">
        <v>4.597831253235457E-3</v>
      </c>
      <c r="N30" s="13">
        <v>4.4939650912925941E-3</v>
      </c>
      <c r="O30" s="12">
        <f>N30-J30</f>
        <v>-6.5774633079555347E-3</v>
      </c>
      <c r="P30" s="14" t="e">
        <f>_xlfn.XLOOKUP(Table9[[#This Row],[کدشعبه ]],[1]!Table28[کد فروشگاه],[1]!Table28[Column1],"*",0)</f>
        <v>#REF!</v>
      </c>
      <c r="Q30" s="12">
        <f>N30-(M30*0.15)</f>
        <v>3.8042904033072757E-3</v>
      </c>
      <c r="R30" s="12">
        <f>Q30-J30</f>
        <v>-7.2671379959408531E-3</v>
      </c>
      <c r="S30" s="15">
        <f>Table9[[#This Row],[تارگت22 مهر]]/Table9[[#This Row],[درصد راکد15مهر]]</f>
        <v>0.84653314523479128</v>
      </c>
      <c r="T30" s="12" t="str">
        <f>IF(J30-N30&gt;=1%,"عالی",IF(J30-N30&gt;=0.5%,"خوب",IF(J30-N30&gt;=0.2%,"متوسط","ضعیف")))</f>
        <v>خوب</v>
      </c>
    </row>
    <row r="31" spans="1:20" x14ac:dyDescent="0.3">
      <c r="A31" s="8" t="str">
        <f>VLOOKUP(Table9[[#This Row],[نام شعبه ]],[1]دیتا!E:G,3,0)</f>
        <v>جواد رستمی</v>
      </c>
      <c r="B31" s="9" t="s">
        <v>109</v>
      </c>
      <c r="C31" s="10" t="s">
        <v>110</v>
      </c>
      <c r="D31" s="11">
        <v>3046488012</v>
      </c>
      <c r="E31" s="12">
        <v>5.7333520276148464E-2</v>
      </c>
      <c r="F31" s="12">
        <v>6.7603875770217606E-2</v>
      </c>
      <c r="G31" s="12">
        <f>_xlfn.XLOOKUP(Table9[[#This Row],[کدشعبه ]],'[1]60 روزه'!A:A,'[1]60 روزه'!E:E,1)</f>
        <v>5.761983585520216E-2</v>
      </c>
      <c r="H31" s="12">
        <v>7.6016361486700934E-2</v>
      </c>
      <c r="I31" s="12">
        <v>7.8263119374700985E-2</v>
      </c>
      <c r="J31" s="12">
        <v>6.6547903730353797E-2</v>
      </c>
      <c r="K31" s="12">
        <v>5.2166846189157137E-2</v>
      </c>
      <c r="L31" s="12">
        <v>5.3942366563411726E-2</v>
      </c>
      <c r="M31" s="12">
        <v>5.761983585520216E-2</v>
      </c>
      <c r="N31" s="13">
        <v>5.6253572242610156E-2</v>
      </c>
      <c r="O31" s="12">
        <f>N31-J31</f>
        <v>-1.0294331487743641E-2</v>
      </c>
      <c r="P31" s="14" t="e">
        <f>_xlfn.XLOOKUP(Table9[[#This Row],[کدشعبه ]],[1]!Table28[کد فروشگاه],[1]!Table28[Column1],"*",0)</f>
        <v>#REF!</v>
      </c>
      <c r="Q31" s="12">
        <f>N31-(M31*0.15)</f>
        <v>4.7610596864329835E-2</v>
      </c>
      <c r="R31" s="12">
        <f>Q31-J31</f>
        <v>-1.8937306866023962E-2</v>
      </c>
      <c r="S31" s="15">
        <f>Table9[[#This Row],[تارگت22 مهر]]/Table9[[#This Row],[درصد راکد15مهر]]</f>
        <v>0.84635686172951052</v>
      </c>
      <c r="T31" s="12" t="str">
        <f>IF(J31-N31&gt;=1%,"عالی",IF(J31-N31&gt;=0.5%,"خوب",IF(J31-N31&gt;=0.2%,"متوسط","ضعیف")))</f>
        <v>عالی</v>
      </c>
    </row>
    <row r="32" spans="1:20" x14ac:dyDescent="0.3">
      <c r="A32" s="8" t="str">
        <f>VLOOKUP(Table9[[#This Row],[نام شعبه ]],[1]دیتا!E:G,3,0)</f>
        <v>علی ابراهیمی نیا</v>
      </c>
      <c r="B32" s="9" t="s">
        <v>91</v>
      </c>
      <c r="C32" s="10" t="s">
        <v>92</v>
      </c>
      <c r="D32" s="11">
        <v>272418053</v>
      </c>
      <c r="E32" s="12">
        <v>9.394018042529503E-3</v>
      </c>
      <c r="F32" s="12">
        <v>9.62855317E-3</v>
      </c>
      <c r="G32" s="12">
        <f>_xlfn.XLOOKUP(Table9[[#This Row],[کدشعبه ]],'[1]60 روزه'!A:A,'[1]60 روزه'!E:E,1)</f>
        <v>4.525527762670639E-3</v>
      </c>
      <c r="H32" s="12">
        <v>1.5324051716057033E-2</v>
      </c>
      <c r="I32" s="12">
        <v>1.6567690019367868E-2</v>
      </c>
      <c r="J32" s="12">
        <v>1.4876032191588111E-2</v>
      </c>
      <c r="K32" s="12">
        <v>1.1000099868334308E-2</v>
      </c>
      <c r="L32" s="12">
        <v>1.0508803323616525E-2</v>
      </c>
      <c r="M32" s="12">
        <v>4.525527762670639E-3</v>
      </c>
      <c r="N32" s="13">
        <v>4.4075729319869002E-3</v>
      </c>
      <c r="O32" s="12">
        <f>N32-J32</f>
        <v>-1.0468459259601211E-2</v>
      </c>
      <c r="P32" s="14" t="e">
        <f>_xlfn.XLOOKUP(Table9[[#This Row],[کدشعبه ]],[1]!Table28[کد فروشگاه],[1]!Table28[Column1],"*",0)</f>
        <v>#REF!</v>
      </c>
      <c r="Q32" s="12">
        <f>N32-(M32*0.15)</f>
        <v>3.7287437675863045E-3</v>
      </c>
      <c r="R32" s="12">
        <f>Q32-J32</f>
        <v>-1.1147288424001806E-2</v>
      </c>
      <c r="S32" s="15">
        <f>Table9[[#This Row],[تارگت22 مهر]]/Table9[[#This Row],[درصد راکد15مهر]]</f>
        <v>0.84598572164872043</v>
      </c>
      <c r="T32" s="12" t="str">
        <f>IF(J32-N32&gt;=1%,"عالی",IF(J32-N32&gt;=0.5%,"خوب",IF(J32-N32&gt;=0.2%,"متوسط","ضعیف")))</f>
        <v>عالی</v>
      </c>
    </row>
    <row r="33" spans="1:20" x14ac:dyDescent="0.3">
      <c r="A33" s="8" t="str">
        <f>VLOOKUP(Table9[[#This Row],[نام شعبه ]],[1]دیتا!E:G,3,0)</f>
        <v>محمد شاکری</v>
      </c>
      <c r="B33" s="9" t="s">
        <v>61</v>
      </c>
      <c r="C33" s="10" t="s">
        <v>62</v>
      </c>
      <c r="D33" s="11">
        <v>2042397745</v>
      </c>
      <c r="E33" s="12">
        <v>5.2303024002764174E-2</v>
      </c>
      <c r="F33" s="12">
        <v>6.2863842610949031E-2</v>
      </c>
      <c r="G33" s="12">
        <f>_xlfn.XLOOKUP(Table9[[#This Row],[کدشعبه ]],'[1]60 روزه'!A:A,'[1]60 روزه'!E:E,1)</f>
        <v>3.51538970144896E-2</v>
      </c>
      <c r="H33" s="12">
        <v>5.3491441845748049E-2</v>
      </c>
      <c r="I33" s="12">
        <v>5.053156931801514E-2</v>
      </c>
      <c r="J33" s="12">
        <v>4.4067941730513968E-2</v>
      </c>
      <c r="K33" s="12">
        <v>4.5530797747811637E-2</v>
      </c>
      <c r="L33" s="12">
        <v>4.5083818305507069E-2</v>
      </c>
      <c r="M33" s="12">
        <v>3.5153897014489587E-2</v>
      </c>
      <c r="N33" s="13">
        <v>3.4230133438600312E-2</v>
      </c>
      <c r="O33" s="12">
        <f>N33-J33</f>
        <v>-9.8378082919136564E-3</v>
      </c>
      <c r="P33" s="14" t="e">
        <f>_xlfn.XLOOKUP(Table9[[#This Row],[کدشعبه ]],[1]!Table28[کد فروشگاه],[1]!Table28[Column1],"*",0)</f>
        <v>#REF!</v>
      </c>
      <c r="Q33" s="12">
        <f>N33-(M33*0.15)</f>
        <v>2.8957048886426875E-2</v>
      </c>
      <c r="R33" s="12">
        <f>Q33-J33</f>
        <v>-1.5110892844087093E-2</v>
      </c>
      <c r="S33" s="15">
        <f>Table9[[#This Row],[تارگت22 مهر]]/Table9[[#This Row],[درصد راکد15مهر]]</f>
        <v>0.84595197206484929</v>
      </c>
      <c r="T33" s="12" t="str">
        <f>IF(J33-N33&gt;=1%,"عالی",IF(J33-N33&gt;=0.5%,"خوب",IF(J33-N33&gt;=0.2%,"متوسط","ضعیف")))</f>
        <v>خوب</v>
      </c>
    </row>
    <row r="34" spans="1:20" x14ac:dyDescent="0.3">
      <c r="A34" s="8" t="str">
        <f>VLOOKUP(Table9[[#This Row],[نام شعبه ]],[1]دیتا!E:G,3,0)</f>
        <v>علی ابراهیمی نیا</v>
      </c>
      <c r="B34" s="9" t="s">
        <v>77</v>
      </c>
      <c r="C34" s="10" t="s">
        <v>78</v>
      </c>
      <c r="D34" s="11">
        <v>1984232008</v>
      </c>
      <c r="E34" s="12">
        <v>1.853900072863501E-2</v>
      </c>
      <c r="F34" s="12">
        <v>1.9599581057142202E-2</v>
      </c>
      <c r="G34" s="12">
        <f>_xlfn.XLOOKUP(Table9[[#This Row],[کدشعبه ]],'[1]60 روزه'!A:A,'[1]60 روزه'!E:E,1)</f>
        <v>2.5939004444274074E-2</v>
      </c>
      <c r="H34" s="12">
        <v>2.1276167154930647E-2</v>
      </c>
      <c r="I34" s="12">
        <v>2.2449135758693464E-2</v>
      </c>
      <c r="J34" s="12">
        <v>2.5099826257197481E-2</v>
      </c>
      <c r="K34" s="12">
        <v>2.6236736153985814E-2</v>
      </c>
      <c r="L34" s="12">
        <v>2.641183634146177E-2</v>
      </c>
      <c r="M34" s="12">
        <v>2.5939004444274084E-2</v>
      </c>
      <c r="N34" s="13">
        <v>2.5074963139541922E-2</v>
      </c>
      <c r="O34" s="12">
        <f>N34-J34</f>
        <v>-2.4863117655558875E-5</v>
      </c>
      <c r="P34" s="14" t="e">
        <f>_xlfn.XLOOKUP(Table9[[#This Row],[کدشعبه ]],[1]!Table28[کد فروشگاه],[1]!Table28[Column1],"*",0)</f>
        <v>#REF!</v>
      </c>
      <c r="Q34" s="12">
        <f>N34-(M34*0.15)</f>
        <v>2.118411247290081E-2</v>
      </c>
      <c r="R34" s="12">
        <f>Q34-J34</f>
        <v>-3.9157137842966705E-3</v>
      </c>
      <c r="S34" s="15">
        <f>Table9[[#This Row],[تارگت22 مهر]]/Table9[[#This Row],[درصد راکد15مهر]]</f>
        <v>0.84483125079831356</v>
      </c>
      <c r="T34" s="12" t="str">
        <f>IF(J34-N34&gt;=1%,"عالی",IF(J34-N34&gt;=0.5%,"خوب",IF(J34-N34&gt;=0.2%,"متوسط","ضعیف")))</f>
        <v>ضعیف</v>
      </c>
    </row>
    <row r="35" spans="1:20" x14ac:dyDescent="0.3">
      <c r="A35" s="8" t="str">
        <f>VLOOKUP(Table9[[#This Row],[نام شعبه ]],[1]دیتا!E:G,3,0)</f>
        <v>محسن ملکی</v>
      </c>
      <c r="B35" s="9" t="s">
        <v>51</v>
      </c>
      <c r="C35" s="10" t="s">
        <v>52</v>
      </c>
      <c r="D35" s="11">
        <v>1356032253</v>
      </c>
      <c r="E35" s="12">
        <v>1.7355980173920763E-2</v>
      </c>
      <c r="F35" s="12">
        <v>1.8432743425734126E-2</v>
      </c>
      <c r="G35" s="12">
        <f>_xlfn.XLOOKUP(Table9[[#This Row],[کدشعبه ]],'[1]60 روزه'!A:A,'[1]60 روزه'!E:E,1)</f>
        <v>2.4203918200186053E-2</v>
      </c>
      <c r="H35" s="12">
        <v>1.7575560636713068E-2</v>
      </c>
      <c r="I35" s="12">
        <v>2.0091442963770693E-2</v>
      </c>
      <c r="J35" s="12">
        <v>2.0654880620176057E-2</v>
      </c>
      <c r="K35" s="12">
        <v>2.3868527072824799E-2</v>
      </c>
      <c r="L35" s="12">
        <v>2.3868243049380403E-2</v>
      </c>
      <c r="M35" s="12">
        <v>2.4203918200186053E-2</v>
      </c>
      <c r="N35" s="13">
        <v>2.3388006563934371E-2</v>
      </c>
      <c r="O35" s="12">
        <f>N35-J35</f>
        <v>2.733125943758314E-3</v>
      </c>
      <c r="P35" s="14" t="e">
        <f>_xlfn.XLOOKUP(Table9[[#This Row],[کدشعبه ]],[1]!Table28[کد فروشگاه],[1]!Table28[Column1],"*",0)</f>
        <v>#REF!</v>
      </c>
      <c r="Q35" s="12">
        <f>N35-(M35*0.15)</f>
        <v>1.9757418833906464E-2</v>
      </c>
      <c r="R35" s="12">
        <f>Q35-J35</f>
        <v>-8.9746178626959328E-4</v>
      </c>
      <c r="S35" s="15">
        <f>Table9[[#This Row],[تارگت22 مهر]]/Table9[[#This Row],[درصد راکد15مهر]]</f>
        <v>0.84476711514069447</v>
      </c>
      <c r="T35" s="12" t="str">
        <f>IF(J35-N35&gt;=1%,"عالی",IF(J35-N35&gt;=0.5%,"خوب",IF(J35-N35&gt;=0.2%,"متوسط","ضعیف")))</f>
        <v>ضعیف</v>
      </c>
    </row>
    <row r="36" spans="1:20" x14ac:dyDescent="0.3">
      <c r="A36" s="8" t="str">
        <f>VLOOKUP(Table9[[#This Row],[نام شعبه ]],[1]دیتا!E:G,3,0)</f>
        <v>جواد رستمی</v>
      </c>
      <c r="B36" s="9" t="s">
        <v>41</v>
      </c>
      <c r="C36" s="10" t="s">
        <v>42</v>
      </c>
      <c r="D36" s="11">
        <v>1076668204</v>
      </c>
      <c r="E36" s="12">
        <v>1.6580094547747302E-2</v>
      </c>
      <c r="F36" s="12">
        <v>1.7010046033538763E-2</v>
      </c>
      <c r="G36" s="12">
        <f>_xlfn.XLOOKUP(Table9[[#This Row],[کدشعبه ]],'[1]60 روزه'!A:A,'[1]60 روزه'!E:E,1)</f>
        <v>2.2650941301842569E-2</v>
      </c>
      <c r="H36" s="12">
        <v>2.3659272700699334E-2</v>
      </c>
      <c r="I36" s="12">
        <v>2.1969270604038648E-2</v>
      </c>
      <c r="J36" s="12">
        <v>1.9331163761428301E-2</v>
      </c>
      <c r="K36" s="12">
        <v>2.3914782966254357E-2</v>
      </c>
      <c r="L36" s="12">
        <v>2.2897265095432627E-2</v>
      </c>
      <c r="M36" s="12">
        <v>2.2650941301842569E-2</v>
      </c>
      <c r="N36" s="13">
        <v>2.1882431329122223E-2</v>
      </c>
      <c r="O36" s="12">
        <f>N36-J36</f>
        <v>2.5512675676939225E-3</v>
      </c>
      <c r="P36" s="14" t="e">
        <f>_xlfn.XLOOKUP(Table9[[#This Row],[کدشعبه ]],[1]!Table28[کد فروشگاه],[1]!Table28[Column1],"*",0)</f>
        <v>#REF!</v>
      </c>
      <c r="Q36" s="12">
        <f>N36-(M36*0.15)</f>
        <v>1.8484790133845838E-2</v>
      </c>
      <c r="R36" s="12">
        <f>Q36-J36</f>
        <v>-8.4637362758246265E-4</v>
      </c>
      <c r="S36" s="15">
        <f>Table9[[#This Row],[تارگت22 مهر]]/Table9[[#This Row],[درصد راکد15مهر]]</f>
        <v>0.84473200696146433</v>
      </c>
      <c r="T36" s="12" t="str">
        <f>IF(J36-N36&gt;=1%,"عالی",IF(J36-N36&gt;=0.5%,"خوب",IF(J36-N36&gt;=0.2%,"متوسط","ضعیف")))</f>
        <v>ضعیف</v>
      </c>
    </row>
    <row r="37" spans="1:20" x14ac:dyDescent="0.3">
      <c r="A37" s="8" t="str">
        <f>VLOOKUP(Table9[[#This Row],[نام شعبه ]],[1]دیتا!E:G,3,0)</f>
        <v>مصطفی سیفی</v>
      </c>
      <c r="B37" s="9" t="s">
        <v>79</v>
      </c>
      <c r="C37" s="10" t="s">
        <v>80</v>
      </c>
      <c r="D37" s="11">
        <v>531478672</v>
      </c>
      <c r="E37" s="12">
        <v>8.8821923650920457E-3</v>
      </c>
      <c r="F37" s="12">
        <v>6.4277030179618073E-3</v>
      </c>
      <c r="G37" s="12">
        <f>_xlfn.XLOOKUP(Table9[[#This Row],[کدشعبه ]],'[1]60 روزه'!A:A,'[1]60 روزه'!E:E,1)</f>
        <v>9.274418367653612E-3</v>
      </c>
      <c r="H37" s="12">
        <v>6.6978490066738183E-3</v>
      </c>
      <c r="I37" s="12">
        <v>9.903386217038259E-3</v>
      </c>
      <c r="J37" s="12">
        <v>7.778689495857651E-3</v>
      </c>
      <c r="K37" s="12">
        <v>1.0092014583283373E-2</v>
      </c>
      <c r="L37" s="12">
        <v>1.0544122371955483E-2</v>
      </c>
      <c r="M37" s="12">
        <v>9.2744183676536085E-3</v>
      </c>
      <c r="N37" s="13">
        <v>8.8966842375147494E-3</v>
      </c>
      <c r="O37" s="12">
        <f>N37-J37</f>
        <v>1.1179947416570983E-3</v>
      </c>
      <c r="P37" s="14" t="e">
        <f>_xlfn.XLOOKUP(Table9[[#This Row],[کدشعبه ]],[1]!Table28[کد فروشگاه],[1]!Table28[Column1],"*",0)</f>
        <v>#REF!</v>
      </c>
      <c r="Q37" s="12">
        <f>N37-(M37*0.15)</f>
        <v>7.5055214823667084E-3</v>
      </c>
      <c r="R37" s="12">
        <f>Q37-J37</f>
        <v>-2.7316801349094259E-4</v>
      </c>
      <c r="S37" s="15">
        <f>Table9[[#This Row],[تارگت22 مهر]]/Table9[[#This Row],[درصد راکد15مهر]]</f>
        <v>0.8436313217364837</v>
      </c>
      <c r="T37" s="12" t="str">
        <f>IF(J37-N37&gt;=1%,"عالی",IF(J37-N37&gt;=0.5%,"خوب",IF(J37-N37&gt;=0.2%,"متوسط","ضعیف")))</f>
        <v>ضعیف</v>
      </c>
    </row>
    <row r="38" spans="1:20" x14ac:dyDescent="0.3">
      <c r="A38" s="8" t="str">
        <f>VLOOKUP(Table9[[#This Row],[نام شعبه ]],[1]دیتا!E:G,3,0)</f>
        <v>محمد کاظم بستامی</v>
      </c>
      <c r="B38" s="9" t="s">
        <v>103</v>
      </c>
      <c r="C38" s="10" t="s">
        <v>104</v>
      </c>
      <c r="D38" s="11">
        <v>2543706996</v>
      </c>
      <c r="E38" s="12">
        <v>4.6236656457048456E-2</v>
      </c>
      <c r="F38" s="12">
        <v>5.0181283648467155E-2</v>
      </c>
      <c r="G38" s="12">
        <f>_xlfn.XLOOKUP(Table9[[#This Row],[کدشعبه ]],'[1]60 روزه'!A:A,'[1]60 روزه'!E:E,1)</f>
        <v>5.333443906841822E-2</v>
      </c>
      <c r="H38" s="12">
        <v>5.5343094482198596E-2</v>
      </c>
      <c r="I38" s="12">
        <v>6.0829727622773187E-2</v>
      </c>
      <c r="J38" s="12">
        <v>6.5519471144845548E-2</v>
      </c>
      <c r="K38" s="12">
        <v>4.5636579008160018E-2</v>
      </c>
      <c r="L38" s="12">
        <v>4.4665345273511362E-2</v>
      </c>
      <c r="M38" s="12">
        <v>5.3334439068418213E-2</v>
      </c>
      <c r="N38" s="13">
        <v>5.0696415855825738E-2</v>
      </c>
      <c r="O38" s="12">
        <f>N38-J38</f>
        <v>-1.482305528901981E-2</v>
      </c>
      <c r="P38" s="14" t="e">
        <f>_xlfn.XLOOKUP(Table9[[#This Row],[کدشعبه ]],[1]!Table28[کد فروشگاه],[1]!Table28[Column1],"*",0)</f>
        <v>#REF!</v>
      </c>
      <c r="Q38" s="12">
        <f>N38-(M38*0.15)</f>
        <v>4.2696249995563006E-2</v>
      </c>
      <c r="R38" s="12">
        <f>Q38-J38</f>
        <v>-2.2823221149282542E-2</v>
      </c>
      <c r="S38" s="15">
        <f>Table9[[#This Row],[تارگت22 مهر]]/Table9[[#This Row],[درصد راکد15مهر]]</f>
        <v>0.84219464581057957</v>
      </c>
      <c r="T38" s="12" t="str">
        <f>IF(J38-N38&gt;=1%,"عالی",IF(J38-N38&gt;=0.5%,"خوب",IF(J38-N38&gt;=0.2%,"متوسط","ضعیف")))</f>
        <v>عالی</v>
      </c>
    </row>
    <row r="39" spans="1:20" x14ac:dyDescent="0.3">
      <c r="A39" s="8" t="str">
        <f>VLOOKUP(Table9[[#This Row],[نام شعبه ]],[1]دیتا!E:G,3,0)</f>
        <v>مرتضی رضایی</v>
      </c>
      <c r="B39" s="9" t="s">
        <v>87</v>
      </c>
      <c r="C39" s="10" t="s">
        <v>88</v>
      </c>
      <c r="D39" s="11">
        <v>1799925693</v>
      </c>
      <c r="E39" s="12">
        <v>3.1252962669050199E-2</v>
      </c>
      <c r="F39" s="12">
        <v>3.1870178349347272E-2</v>
      </c>
      <c r="G39" s="12">
        <f>_xlfn.XLOOKUP(Table9[[#This Row],[کدشعبه ]],'[1]60 روزه'!A:A,'[1]60 روزه'!E:E,1)</f>
        <v>3.7366441747395486E-2</v>
      </c>
      <c r="H39" s="12">
        <v>2.574962508125329E-2</v>
      </c>
      <c r="I39" s="12">
        <v>2.6482202374299262E-2</v>
      </c>
      <c r="J39" s="12">
        <v>2.4684054057945212E-2</v>
      </c>
      <c r="K39" s="12">
        <v>3.433678354230793E-2</v>
      </c>
      <c r="L39" s="12">
        <v>3.657895085078583E-2</v>
      </c>
      <c r="M39" s="12">
        <v>3.7366441747395465E-2</v>
      </c>
      <c r="N39" s="13">
        <v>3.5366096799657909E-2</v>
      </c>
      <c r="O39" s="12">
        <f>N39-J39</f>
        <v>1.0682042741712697E-2</v>
      </c>
      <c r="P39" s="14" t="e">
        <f>_xlfn.XLOOKUP(Table9[[#This Row],[کدشعبه ]],[1]!Table28[کد فروشگاه],[1]!Table28[Column1],"*",0)</f>
        <v>#REF!</v>
      </c>
      <c r="Q39" s="12">
        <f>N39-(M39*0.15)</f>
        <v>2.9761130537548589E-2</v>
      </c>
      <c r="R39" s="12">
        <f>Q39-J39</f>
        <v>5.0770764796033777E-3</v>
      </c>
      <c r="S39" s="15">
        <f>Table9[[#This Row],[تارگت22 مهر]]/Table9[[#This Row],[درصد راکد15مهر]]</f>
        <v>0.84151583665394658</v>
      </c>
      <c r="T39" s="12" t="str">
        <f>IF(J39-N39&gt;=1%,"عالی",IF(J39-N39&gt;=0.5%,"خوب",IF(J39-N39&gt;=0.2%,"متوسط","ضعیف")))</f>
        <v>ضعیف</v>
      </c>
    </row>
    <row r="40" spans="1:20" x14ac:dyDescent="0.3">
      <c r="A40" s="8" t="str">
        <f>VLOOKUP(Table9[[#This Row],[نام شعبه ]],[1]دیتا!E:G,3,0)</f>
        <v>محمد شاکری</v>
      </c>
      <c r="B40" s="9" t="s">
        <v>21</v>
      </c>
      <c r="C40" s="10" t="s">
        <v>22</v>
      </c>
      <c r="D40" s="11">
        <v>1504182618</v>
      </c>
      <c r="E40" s="12">
        <v>5.2690435374350711E-2</v>
      </c>
      <c r="F40" s="12">
        <v>5.118059115507282E-2</v>
      </c>
      <c r="G40" s="12">
        <f>_xlfn.XLOOKUP(Table9[[#This Row],[کدشعبه ]],'[1]60 روزه'!A:A,'[1]60 روزه'!E:E,1)</f>
        <v>2.5075157355379463E-2</v>
      </c>
      <c r="H40" s="12">
        <v>4.2122461405498364E-2</v>
      </c>
      <c r="I40" s="12">
        <v>5.2444817439427603E-2</v>
      </c>
      <c r="J40" s="12">
        <v>4.1368924984185332E-2</v>
      </c>
      <c r="K40" s="12">
        <v>3.2531332158565608E-2</v>
      </c>
      <c r="L40" s="12">
        <v>2.4982932499488655E-2</v>
      </c>
      <c r="M40" s="12">
        <v>2.507515735537947E-2</v>
      </c>
      <c r="N40" s="13">
        <v>2.3705593275289812E-2</v>
      </c>
      <c r="O40" s="12">
        <f>N40-J40</f>
        <v>-1.766333170889552E-2</v>
      </c>
      <c r="P40" s="14" t="e">
        <f>_xlfn.XLOOKUP(Table9[[#This Row],[کدشعبه ]],[1]!Table28[کد فروشگاه],[1]!Table28[Column1],"*",0)</f>
        <v>#REF!</v>
      </c>
      <c r="Q40" s="12">
        <f>N40-(M40*0.15)</f>
        <v>1.9944319671982891E-2</v>
      </c>
      <c r="R40" s="12">
        <f>Q40-J40</f>
        <v>-2.142460531220244E-2</v>
      </c>
      <c r="S40" s="15">
        <f>Table9[[#This Row],[تارگت22 مهر]]/Table9[[#This Row],[درصد راکد15مهر]]</f>
        <v>0.84133391813367564</v>
      </c>
      <c r="T40" s="12" t="str">
        <f>IF(J40-N40&gt;=1%,"عالی",IF(J40-N40&gt;=0.5%,"خوب",IF(J40-N40&gt;=0.2%,"متوسط","ضعیف")))</f>
        <v>عالی</v>
      </c>
    </row>
    <row r="41" spans="1:20" x14ac:dyDescent="0.3">
      <c r="A41" s="8" t="str">
        <f>VLOOKUP(Table9[[#This Row],[نام شعبه ]],[1]دیتا!E:G,3,0)</f>
        <v>علی ابراهیمی نیا</v>
      </c>
      <c r="B41" s="9" t="s">
        <v>59</v>
      </c>
      <c r="C41" s="10" t="s">
        <v>60</v>
      </c>
      <c r="D41" s="11">
        <v>1173047075</v>
      </c>
      <c r="E41" s="12">
        <v>1.8160021339682364E-2</v>
      </c>
      <c r="F41" s="12">
        <v>2.1410937164477058E-2</v>
      </c>
      <c r="G41" s="12">
        <f>_xlfn.XLOOKUP(Table9[[#This Row],[کدشعبه ]],'[1]60 روزه'!A:A,'[1]60 روزه'!E:E,1)</f>
        <v>1.0939520667806575E-2</v>
      </c>
      <c r="H41" s="12">
        <v>1.7827660362012717E-2</v>
      </c>
      <c r="I41" s="12">
        <v>1.867091774361395E-2</v>
      </c>
      <c r="J41" s="12">
        <v>1.5860065822555152E-2</v>
      </c>
      <c r="K41" s="12">
        <v>1.2819950732044567E-2</v>
      </c>
      <c r="L41" s="12">
        <v>1.2079188288541078E-2</v>
      </c>
      <c r="M41" s="12">
        <v>1.0939520667806575E-2</v>
      </c>
      <c r="N41" s="13">
        <v>1.0157901381799925E-2</v>
      </c>
      <c r="O41" s="12">
        <f>N41-J41</f>
        <v>-5.7021644407552266E-3</v>
      </c>
      <c r="P41" s="14" t="e">
        <f>_xlfn.XLOOKUP(Table9[[#This Row],[کدشعبه ]],[1]!Table28[کد فروشگاه],[1]!Table28[Column1],"*",0)</f>
        <v>#REF!</v>
      </c>
      <c r="Q41" s="12">
        <f>N41-(M41*0.15)</f>
        <v>8.5169732816289395E-3</v>
      </c>
      <c r="R41" s="12">
        <f>Q41-J41</f>
        <v>-7.3430925409262125E-3</v>
      </c>
      <c r="S41" s="15">
        <f>Table9[[#This Row],[تارگت22 مهر]]/Table9[[#This Row],[درصد راکد15مهر]]</f>
        <v>0.83845796109902548</v>
      </c>
      <c r="T41" s="12" t="str">
        <f>IF(J41-N41&gt;=1%,"عالی",IF(J41-N41&gt;=0.5%,"خوب",IF(J41-N41&gt;=0.2%,"متوسط","ضعیف")))</f>
        <v>خوب</v>
      </c>
    </row>
    <row r="42" spans="1:20" x14ac:dyDescent="0.3">
      <c r="A42" s="8" t="str">
        <f>VLOOKUP(Table9[[#This Row],[نام شعبه ]],[1]دیتا!E:G,3,0)</f>
        <v xml:space="preserve">میثم جلالوند </v>
      </c>
      <c r="B42" s="9" t="s">
        <v>105</v>
      </c>
      <c r="C42" s="10" t="s">
        <v>106</v>
      </c>
      <c r="D42" s="11">
        <v>628798139</v>
      </c>
      <c r="E42" s="12">
        <v>1.1866152662635349E-2</v>
      </c>
      <c r="F42" s="12">
        <v>1.2850142366161872E-2</v>
      </c>
      <c r="G42" s="12">
        <f>_xlfn.XLOOKUP(Table9[[#This Row],[کدشعبه ]],'[1]60 روزه'!A:A,'[1]60 روزه'!E:E,1)</f>
        <v>1.1997757342237032E-2</v>
      </c>
      <c r="H42" s="12">
        <v>1.3419955160964994E-2</v>
      </c>
      <c r="I42" s="12">
        <v>1.1206825170536441E-2</v>
      </c>
      <c r="J42" s="12">
        <v>1.2728160431329977E-2</v>
      </c>
      <c r="K42" s="12">
        <v>1.2460616752957614E-2</v>
      </c>
      <c r="L42" s="12">
        <v>1.3164743007734273E-2</v>
      </c>
      <c r="M42" s="12">
        <v>1.1997757342237039E-2</v>
      </c>
      <c r="N42" s="13">
        <v>1.1094728398683126E-2</v>
      </c>
      <c r="O42" s="12">
        <f>N42-J42</f>
        <v>-1.6334320326468511E-3</v>
      </c>
      <c r="P42" s="14" t="e">
        <f>_xlfn.XLOOKUP(Table9[[#This Row],[کدشعبه ]],[1]!Table28[کد فروشگاه],[1]!Table28[Column1],"*",0)</f>
        <v>#REF!</v>
      </c>
      <c r="Q42" s="12">
        <f>N42-(M42*0.15)</f>
        <v>9.2950647973475704E-3</v>
      </c>
      <c r="R42" s="12">
        <f>Q42-J42</f>
        <v>-3.4330956339824071E-3</v>
      </c>
      <c r="S42" s="15">
        <f>Table9[[#This Row],[تارگت22 مهر]]/Table9[[#This Row],[درصد راکد15مهر]]</f>
        <v>0.83779110793292022</v>
      </c>
      <c r="T42" s="12" t="str">
        <f>IF(J42-N42&gt;=1%,"عالی",IF(J42-N42&gt;=0.5%,"خوب",IF(J42-N42&gt;=0.2%,"متوسط","ضعیف")))</f>
        <v>ضعیف</v>
      </c>
    </row>
    <row r="43" spans="1:20" x14ac:dyDescent="0.3">
      <c r="A43" s="8" t="str">
        <f>VLOOKUP(Table9[[#This Row],[نام شعبه ]],[1]دیتا!E:G,3,0)</f>
        <v>محمد شاکری</v>
      </c>
      <c r="B43" s="9" t="s">
        <v>57</v>
      </c>
      <c r="C43" s="10" t="s">
        <v>58</v>
      </c>
      <c r="D43" s="11">
        <v>2574193550</v>
      </c>
      <c r="E43" s="12">
        <v>5.0888542422497601E-2</v>
      </c>
      <c r="F43" s="12">
        <v>4.9395886872870831E-2</v>
      </c>
      <c r="G43" s="12">
        <f>_xlfn.XLOOKUP(Table9[[#This Row],[کدشعبه ]],'[1]60 روزه'!A:A,'[1]60 روزه'!E:E,1)</f>
        <v>3.9337474432601091E-2</v>
      </c>
      <c r="H43" s="12">
        <v>4.2747606854172782E-2</v>
      </c>
      <c r="I43" s="12">
        <v>4.84308692331714E-2</v>
      </c>
      <c r="J43" s="12">
        <v>4.0340999854962353E-2</v>
      </c>
      <c r="K43" s="12">
        <v>4.2030234041407613E-2</v>
      </c>
      <c r="L43" s="12">
        <v>4.1608391673174892E-2</v>
      </c>
      <c r="M43" s="12">
        <v>3.9337474432601056E-2</v>
      </c>
      <c r="N43" s="13">
        <v>3.6375800925254671E-2</v>
      </c>
      <c r="O43" s="12">
        <f>N43-J43</f>
        <v>-3.965198929707682E-3</v>
      </c>
      <c r="P43" s="14" t="e">
        <f>_xlfn.XLOOKUP(Table9[[#This Row],[کدشعبه ]],[1]!Table28[کد فروشگاه],[1]!Table28[Column1],"*",0)</f>
        <v>#REF!</v>
      </c>
      <c r="Q43" s="12">
        <f>N43-(M43*0.15)</f>
        <v>3.0475179760364512E-2</v>
      </c>
      <c r="R43" s="12">
        <f>Q43-J43</f>
        <v>-9.8658200945978408E-3</v>
      </c>
      <c r="S43" s="15">
        <f>Table9[[#This Row],[تارگت22 مهر]]/Table9[[#This Row],[درصد راکد15مهر]]</f>
        <v>0.83778718228047244</v>
      </c>
      <c r="T43" s="12" t="str">
        <f>IF(J43-N43&gt;=1%,"عالی",IF(J43-N43&gt;=0.5%,"خوب",IF(J43-N43&gt;=0.2%,"متوسط","ضعیف")))</f>
        <v>متوسط</v>
      </c>
    </row>
    <row r="44" spans="1:20" x14ac:dyDescent="0.3">
      <c r="A44" s="8" t="str">
        <f>VLOOKUP(Table9[[#This Row],[نام شعبه ]],[1]دیتا!E:G,3,0)</f>
        <v xml:space="preserve">میثم جلالوند </v>
      </c>
      <c r="B44" s="9" t="s">
        <v>71</v>
      </c>
      <c r="C44" s="10" t="s">
        <v>72</v>
      </c>
      <c r="D44" s="11">
        <v>1524668034.0899999</v>
      </c>
      <c r="E44" s="12">
        <v>2.795395749239981E-2</v>
      </c>
      <c r="F44" s="12">
        <v>2.6950271327247682E-2</v>
      </c>
      <c r="G44" s="12">
        <f>_xlfn.XLOOKUP(Table9[[#This Row],[کدشعبه ]],'[1]60 روزه'!A:A,'[1]60 روزه'!E:E,1)</f>
        <v>2.4464671331449989E-2</v>
      </c>
      <c r="H44" s="12">
        <v>2.7362066309854261E-2</v>
      </c>
      <c r="I44" s="12">
        <v>2.784479752100549E-2</v>
      </c>
      <c r="J44" s="12">
        <v>2.6485014747486262E-2</v>
      </c>
      <c r="K44" s="12">
        <v>2.5412395886125962E-2</v>
      </c>
      <c r="L44" s="12">
        <v>2.5045343011842566E-2</v>
      </c>
      <c r="M44" s="12">
        <v>2.4464671331449986E-2</v>
      </c>
      <c r="N44" s="13">
        <v>2.25363293430298E-2</v>
      </c>
      <c r="O44" s="12">
        <f>N44-J44</f>
        <v>-3.9486854044564618E-3</v>
      </c>
      <c r="P44" s="14" t="e">
        <f>_xlfn.XLOOKUP(Table9[[#This Row],[کدشعبه ]],[1]!Table28[کد فروشگاه],[1]!Table28[Column1],"*",0)</f>
        <v>#REF!</v>
      </c>
      <c r="Q44" s="12">
        <f>N44-(M44*0.15)</f>
        <v>1.8866628643312303E-2</v>
      </c>
      <c r="R44" s="12">
        <f>Q44-J44</f>
        <v>-7.618386104173959E-3</v>
      </c>
      <c r="S44" s="15">
        <f>Table9[[#This Row],[تارگت22 مهر]]/Table9[[#This Row],[درصد راکد15مهر]]</f>
        <v>0.83716511043745068</v>
      </c>
      <c r="T44" s="12" t="str">
        <f>IF(J44-N44&gt;=1%,"عالی",IF(J44-N44&gt;=0.5%,"خوب",IF(J44-N44&gt;=0.2%,"متوسط","ضعیف")))</f>
        <v>متوسط</v>
      </c>
    </row>
    <row r="45" spans="1:20" x14ac:dyDescent="0.3">
      <c r="A45" s="8" t="str">
        <f>VLOOKUP(Table9[[#This Row],[نام شعبه ]],[1]دیتا!E:G,3,0)</f>
        <v>جواد رستمی</v>
      </c>
      <c r="B45" s="9" t="s">
        <v>89</v>
      </c>
      <c r="C45" s="10" t="s">
        <v>90</v>
      </c>
      <c r="D45" s="11">
        <v>1578045136</v>
      </c>
      <c r="E45" s="12">
        <v>3.8996429809887954E-2</v>
      </c>
      <c r="F45" s="12">
        <v>3.9821214982741257E-2</v>
      </c>
      <c r="G45" s="12">
        <f>_xlfn.XLOOKUP(Table9[[#This Row],[کدشعبه ]],'[1]60 روزه'!A:A,'[1]60 روزه'!E:E,1)</f>
        <v>2.118583922117781E-2</v>
      </c>
      <c r="H45" s="12">
        <v>2.7389969055031434E-2</v>
      </c>
      <c r="I45" s="12">
        <v>2.7224031787333167E-2</v>
      </c>
      <c r="J45" s="12">
        <v>2.0954317336351867E-2</v>
      </c>
      <c r="K45" s="12">
        <v>2.1630189078119148E-2</v>
      </c>
      <c r="L45" s="12">
        <v>2.2111229124782146E-2</v>
      </c>
      <c r="M45" s="12">
        <v>2.11858392211778E-2</v>
      </c>
      <c r="N45" s="13">
        <v>1.9431608228951631E-2</v>
      </c>
      <c r="O45" s="12">
        <f>N45-J45</f>
        <v>-1.5227091074002351E-3</v>
      </c>
      <c r="P45" s="14" t="e">
        <f>_xlfn.XLOOKUP(Table9[[#This Row],[کدشعبه ]],[1]!Table28[کد فروشگاه],[1]!Table28[Column1],"*",0)</f>
        <v>#REF!</v>
      </c>
      <c r="Q45" s="12">
        <f>N45-(M45*0.15)</f>
        <v>1.6253732345774961E-2</v>
      </c>
      <c r="R45" s="12">
        <f>Q45-J45</f>
        <v>-4.7005849905769059E-3</v>
      </c>
      <c r="S45" s="15">
        <f>Table9[[#This Row],[تارگت22 مهر]]/Table9[[#This Row],[درصد راکد15مهر]]</f>
        <v>0.83645842146807614</v>
      </c>
      <c r="T45" s="12" t="str">
        <f>IF(J45-N45&gt;=1%,"عالی",IF(J45-N45&gt;=0.5%,"خوب",IF(J45-N45&gt;=0.2%,"متوسط","ضعیف")))</f>
        <v>ضعیف</v>
      </c>
    </row>
    <row r="46" spans="1:20" x14ac:dyDescent="0.3">
      <c r="A46" s="8" t="str">
        <f>VLOOKUP(Table9[[#This Row],[نام شعبه ]],[1]دیتا!E:G,3,0)</f>
        <v>مرتضی رضایی</v>
      </c>
      <c r="B46" s="9" t="s">
        <v>73</v>
      </c>
      <c r="C46" s="10" t="s">
        <v>74</v>
      </c>
      <c r="D46" s="11">
        <v>638832788</v>
      </c>
      <c r="E46" s="12">
        <v>1.2239844593892634E-2</v>
      </c>
      <c r="F46" s="12">
        <v>1.2599358473964321E-2</v>
      </c>
      <c r="G46" s="12">
        <f>_xlfn.XLOOKUP(Table9[[#This Row],[کدشعبه ]],'[1]60 روزه'!A:A,'[1]60 روزه'!E:E,1)</f>
        <v>9.7590939520243222E-3</v>
      </c>
      <c r="H46" s="12">
        <v>1.6241291091331152E-2</v>
      </c>
      <c r="I46" s="12">
        <v>1.4189099526410202E-2</v>
      </c>
      <c r="J46" s="12">
        <v>1.1483586079673308E-2</v>
      </c>
      <c r="K46" s="12">
        <v>9.8198499121969398E-3</v>
      </c>
      <c r="L46" s="12">
        <v>9.472827920963784E-3</v>
      </c>
      <c r="M46" s="12">
        <v>9.7590939520243256E-3</v>
      </c>
      <c r="N46" s="13">
        <v>8.9504585929221052E-3</v>
      </c>
      <c r="O46" s="12">
        <f>N46-J46</f>
        <v>-2.5331274867512032E-3</v>
      </c>
      <c r="P46" s="14" t="e">
        <f>_xlfn.XLOOKUP(Table9[[#This Row],[کدشعبه ]],[1]!Table28[کد فروشگاه],[1]!Table28[Column1],"*",0)</f>
        <v>#REF!</v>
      </c>
      <c r="Q46" s="12">
        <f>N46-(M46*0.15)</f>
        <v>7.4865945001184563E-3</v>
      </c>
      <c r="R46" s="12">
        <f>Q46-J46</f>
        <v>-3.9969915795548521E-3</v>
      </c>
      <c r="S46" s="15">
        <f>Table9[[#This Row],[تارگت22 مهر]]/Table9[[#This Row],[درصد راکد15مهر]]</f>
        <v>0.83644814647137167</v>
      </c>
      <c r="T46" s="12" t="str">
        <f>IF(J46-N46&gt;=1%,"عالی",IF(J46-N46&gt;=0.5%,"خوب",IF(J46-N46&gt;=0.2%,"متوسط","ضعیف")))</f>
        <v>متوسط</v>
      </c>
    </row>
    <row r="47" spans="1:20" x14ac:dyDescent="0.3">
      <c r="A47" s="8" t="str">
        <f>VLOOKUP(Table9[[#This Row],[نام شعبه ]],[1]دیتا!E:G,3,0)</f>
        <v>سامان بسطامی</v>
      </c>
      <c r="B47" s="9" t="s">
        <v>85</v>
      </c>
      <c r="C47" s="10" t="s">
        <v>86</v>
      </c>
      <c r="D47" s="11">
        <v>1912047884</v>
      </c>
      <c r="E47" s="12">
        <v>3.9076398885436008E-2</v>
      </c>
      <c r="F47" s="12">
        <v>3.8474352627726166E-2</v>
      </c>
      <c r="G47" s="12">
        <f>_xlfn.XLOOKUP(Table9[[#This Row],[کدشعبه ]],'[1]60 روزه'!A:A,'[1]60 روزه'!E:E,1)</f>
        <v>3.3252233278859074E-2</v>
      </c>
      <c r="H47" s="12">
        <v>3.4919796343242201E-2</v>
      </c>
      <c r="I47" s="12">
        <v>3.6840147470175395E-2</v>
      </c>
      <c r="J47" s="12">
        <v>3.2687571494762181E-2</v>
      </c>
      <c r="K47" s="12">
        <v>3.1383932833720041E-2</v>
      </c>
      <c r="L47" s="12">
        <v>3.1594532827985078E-2</v>
      </c>
      <c r="M47" s="12">
        <v>3.3252233278859115E-2</v>
      </c>
      <c r="N47" s="13">
        <v>3.0266342297488712E-2</v>
      </c>
      <c r="O47" s="12">
        <f>N47-J47</f>
        <v>-2.4212291972734688E-3</v>
      </c>
      <c r="P47" s="14" t="e">
        <f>_xlfn.XLOOKUP(Table9[[#This Row],[کدشعبه ]],[1]!Table28[کد فروشگاه],[1]!Table28[Column1],"*",0)</f>
        <v>#REF!</v>
      </c>
      <c r="Q47" s="12">
        <f>N47-(M47*0.15)</f>
        <v>2.5278507305659843E-2</v>
      </c>
      <c r="R47" s="12">
        <f>Q47-J47</f>
        <v>-7.4090641891023379E-3</v>
      </c>
      <c r="S47" s="15">
        <f>Table9[[#This Row],[تارگت22 مهر]]/Table9[[#This Row],[درصد راکد15مهر]]</f>
        <v>0.8352019235491589</v>
      </c>
      <c r="T47" s="12" t="str">
        <f>IF(J47-N47&gt;=1%,"عالی",IF(J47-N47&gt;=0.5%,"خوب",IF(J47-N47&gt;=0.2%,"متوسط","ضعیف")))</f>
        <v>متوسط</v>
      </c>
    </row>
    <row r="48" spans="1:20" x14ac:dyDescent="0.3">
      <c r="A48" s="8" t="str">
        <f>VLOOKUP(Table9[[#This Row],[نام شعبه ]],[1]دیتا!E:G,3,0)</f>
        <v>سامان بسطامی</v>
      </c>
      <c r="B48" s="9" t="s">
        <v>137</v>
      </c>
      <c r="C48" s="10" t="s">
        <v>138</v>
      </c>
      <c r="D48" s="11">
        <v>989857680</v>
      </c>
      <c r="E48" s="12">
        <v>2.3334831558727287E-2</v>
      </c>
      <c r="F48" s="12">
        <v>2.7536765503050665E-2</v>
      </c>
      <c r="G48" s="12">
        <f>_xlfn.XLOOKUP(Table9[[#This Row],[کدشعبه ]],'[1]60 روزه'!A:A,'[1]60 روزه'!E:E,1)</f>
        <v>2.1860251550874395E-2</v>
      </c>
      <c r="H48" s="12">
        <v>2.3199403033531865E-2</v>
      </c>
      <c r="I48" s="12">
        <v>2.1819953451975925E-2</v>
      </c>
      <c r="J48" s="12">
        <v>3.6097802665283445E-2</v>
      </c>
      <c r="K48" s="12">
        <v>2.443725443864489E-2</v>
      </c>
      <c r="L48" s="12">
        <v>2.6834441546784889E-2</v>
      </c>
      <c r="M48" s="12">
        <v>2.1860251550874388E-2</v>
      </c>
      <c r="N48" s="13">
        <v>1.9890688243472118E-2</v>
      </c>
      <c r="O48" s="12">
        <f>N48-J48</f>
        <v>-1.6207114421811327E-2</v>
      </c>
      <c r="P48" s="14" t="e">
        <f>_xlfn.XLOOKUP(Table9[[#This Row],[کدشعبه ]],[1]!Table28[کد فروشگاه],[1]!Table28[Column1],"*",0)</f>
        <v>#REF!</v>
      </c>
      <c r="Q48" s="12">
        <f>N48-(M48*0.15)</f>
        <v>1.6611650510840958E-2</v>
      </c>
      <c r="R48" s="12">
        <f>Q48-J48</f>
        <v>-1.9486152154442486E-2</v>
      </c>
      <c r="S48" s="15">
        <f>Table9[[#This Row],[تارگت22 مهر]]/Table9[[#This Row],[درصد راکد15مهر]]</f>
        <v>0.83514709533958431</v>
      </c>
      <c r="T48" s="12" t="str">
        <f>IF(J48-N48&gt;=1%,"عالی",IF(J48-N48&gt;=0.5%,"خوب",IF(J48-N48&gt;=0.2%,"متوسط","ضعیف")))</f>
        <v>عالی</v>
      </c>
    </row>
    <row r="49" spans="1:20" x14ac:dyDescent="0.3">
      <c r="A49" s="8" t="str">
        <f>VLOOKUP(Table9[[#This Row],[نام شعبه ]],[1]دیتا!E:G,3,0)</f>
        <v>محمد شاکری</v>
      </c>
      <c r="B49" s="9" t="s">
        <v>145</v>
      </c>
      <c r="C49" s="10" t="s">
        <v>146</v>
      </c>
      <c r="D49" s="11">
        <v>466288425</v>
      </c>
      <c r="E49" s="12">
        <v>7.8251529459922569E-3</v>
      </c>
      <c r="F49" s="12">
        <v>8.1877321376066688E-3</v>
      </c>
      <c r="G49" s="12">
        <f>_xlfn.XLOOKUP(Table9[[#This Row],[کدشعبه ]],'[1]60 روزه'!A:A,'[1]60 روزه'!E:E,1)</f>
        <v>5.7967569921524281E-3</v>
      </c>
      <c r="H49" s="12">
        <v>6.6988065739311048E-3</v>
      </c>
      <c r="I49" s="12">
        <v>7.5198490943742171E-3</v>
      </c>
      <c r="J49" s="12">
        <v>5.9168908372425185E-3</v>
      </c>
      <c r="K49" s="12">
        <v>4.7505857446593627E-3</v>
      </c>
      <c r="L49" s="12">
        <v>5.561195502824327E-3</v>
      </c>
      <c r="M49" s="12">
        <v>5.7967569921524281E-3</v>
      </c>
      <c r="N49" s="13">
        <v>5.1945965742664791E-3</v>
      </c>
      <c r="O49" s="12">
        <f>N49-J49</f>
        <v>-7.2229426297603944E-4</v>
      </c>
      <c r="P49" s="14" t="e">
        <f>_xlfn.XLOOKUP(Table9[[#This Row],[کدشعبه ]],[1]!Table28[کد فروشگاه],[1]!Table28[Column1],"*",0)</f>
        <v>#REF!</v>
      </c>
      <c r="Q49" s="12">
        <f>N49-(M49*0.15)</f>
        <v>4.3250830254436146E-3</v>
      </c>
      <c r="R49" s="12">
        <f>Q49-J49</f>
        <v>-1.5918078117989039E-3</v>
      </c>
      <c r="S49" s="15">
        <f>Table9[[#This Row],[تارگت22 مهر]]/Table9[[#This Row],[درصد راکد15مهر]]</f>
        <v>0.83261191963773484</v>
      </c>
      <c r="T49" s="12" t="str">
        <f>IF(J49-N49&gt;=1%,"عالی",IF(J49-N49&gt;=0.5%,"خوب",IF(J49-N49&gt;=0.2%,"متوسط","ضعیف")))</f>
        <v>ضعیف</v>
      </c>
    </row>
    <row r="50" spans="1:20" x14ac:dyDescent="0.3">
      <c r="A50" s="8" t="str">
        <f>VLOOKUP(Table9[[#This Row],[نام شعبه ]],[1]دیتا!E:G,3,0)</f>
        <v>مصطفی سیفی</v>
      </c>
      <c r="B50" s="9" t="s">
        <v>95</v>
      </c>
      <c r="C50" s="10" t="s">
        <v>96</v>
      </c>
      <c r="D50" s="11">
        <v>2348610762</v>
      </c>
      <c r="E50" s="12">
        <v>5.4738091247616909E-2</v>
      </c>
      <c r="F50" s="12">
        <v>5.7161063830163464E-2</v>
      </c>
      <c r="G50" s="12">
        <f>_xlfn.XLOOKUP(Table9[[#This Row],[کدشعبه ]],'[1]60 روزه'!A:A,'[1]60 روزه'!E:E,1)</f>
        <v>4.9114904248703024E-2</v>
      </c>
      <c r="H50" s="12">
        <v>6.4216736884779996E-2</v>
      </c>
      <c r="I50" s="12">
        <v>6.7440706719383833E-2</v>
      </c>
      <c r="J50" s="12">
        <v>4.7696117211930254E-2</v>
      </c>
      <c r="K50" s="12">
        <v>4.5119947962245041E-2</v>
      </c>
      <c r="L50" s="12">
        <v>4.6283594815703988E-2</v>
      </c>
      <c r="M50" s="12">
        <v>4.911490424870301E-2</v>
      </c>
      <c r="N50" s="13">
        <v>4.3951049366114159E-2</v>
      </c>
      <c r="O50" s="12">
        <f>N50-J50</f>
        <v>-3.7450678458160955E-3</v>
      </c>
      <c r="P50" s="14" t="e">
        <f>_xlfn.XLOOKUP(Table9[[#This Row],[کدشعبه ]],[1]!Table28[کد فروشگاه],[1]!Table28[Column1],"*",0)</f>
        <v>#REF!</v>
      </c>
      <c r="Q50" s="12">
        <f>N50-(M50*0.15)</f>
        <v>3.6583813728808708E-2</v>
      </c>
      <c r="R50" s="12">
        <f>Q50-J50</f>
        <v>-1.1112303483121547E-2</v>
      </c>
      <c r="S50" s="15">
        <f>Table9[[#This Row],[تارگت22 مهر]]/Table9[[#This Row],[درصد راکد15مهر]]</f>
        <v>0.83237634269125049</v>
      </c>
      <c r="T50" s="12" t="str">
        <f>IF(J50-N50&gt;=1%,"عالی",IF(J50-N50&gt;=0.5%,"خوب",IF(J50-N50&gt;=0.2%,"متوسط","ضعیف")))</f>
        <v>متوسط</v>
      </c>
    </row>
    <row r="51" spans="1:20" x14ac:dyDescent="0.3">
      <c r="A51" s="8" t="str">
        <f>VLOOKUP(Table9[[#This Row],[نام شعبه ]],[1]دیتا!E:G,3,0)</f>
        <v>مصطفی سیفی</v>
      </c>
      <c r="B51" s="9" t="s">
        <v>19</v>
      </c>
      <c r="C51" s="10" t="s">
        <v>20</v>
      </c>
      <c r="D51" s="11">
        <v>826214754</v>
      </c>
      <c r="E51" s="12">
        <v>1.2337835852354886E-2</v>
      </c>
      <c r="F51" s="12">
        <v>1.3817562887998427E-2</v>
      </c>
      <c r="G51" s="12">
        <f>_xlfn.XLOOKUP(Table9[[#This Row],[کدشعبه ]],'[1]60 روزه'!A:A,'[1]60 روزه'!E:E,1)</f>
        <v>1.381904894058204E-2</v>
      </c>
      <c r="H51" s="12">
        <v>1.2091823433470691E-2</v>
      </c>
      <c r="I51" s="12">
        <v>1.1770481809003261E-2</v>
      </c>
      <c r="J51" s="12">
        <v>1.6622946431998686E-2</v>
      </c>
      <c r="K51" s="12">
        <v>1.7696682234866774E-2</v>
      </c>
      <c r="L51" s="12">
        <v>1.3966244090191336E-2</v>
      </c>
      <c r="M51" s="12">
        <v>1.3819048940582033E-2</v>
      </c>
      <c r="N51" s="13">
        <v>1.2335092556880508E-2</v>
      </c>
      <c r="O51" s="12">
        <f>N51-J51</f>
        <v>-4.2878538751181788E-3</v>
      </c>
      <c r="P51" s="14" t="e">
        <f>_xlfn.XLOOKUP(Table9[[#This Row],[کدشعبه ]],[1]!Table28[کد فروشگاه],[1]!Table28[Column1],"*",0)</f>
        <v>#REF!</v>
      </c>
      <c r="Q51" s="12">
        <f>N51-(M51*0.15)</f>
        <v>1.0262235215793203E-2</v>
      </c>
      <c r="R51" s="12">
        <f>Q51-J51</f>
        <v>-6.3607112162054839E-3</v>
      </c>
      <c r="S51" s="15">
        <f>Table9[[#This Row],[تارگت22 مهر]]/Table9[[#This Row],[درصد راکد15مهر]]</f>
        <v>0.83195445583170213</v>
      </c>
      <c r="T51" s="12" t="str">
        <f>IF(J51-N51&gt;=1%,"عالی",IF(J51-N51&gt;=0.5%,"خوب",IF(J51-N51&gt;=0.2%,"متوسط","ضعیف")))</f>
        <v>متوسط</v>
      </c>
    </row>
    <row r="52" spans="1:20" x14ac:dyDescent="0.3">
      <c r="A52" s="8" t="str">
        <f>VLOOKUP(Table9[[#This Row],[نام شعبه ]],[1]دیتا!E:G,3,0)</f>
        <v>مرتضی رضایی</v>
      </c>
      <c r="B52" s="9" t="s">
        <v>25</v>
      </c>
      <c r="C52" s="10" t="s">
        <v>26</v>
      </c>
      <c r="D52" s="11">
        <v>138350000</v>
      </c>
      <c r="E52" s="12">
        <v>5.3208000916164493E-3</v>
      </c>
      <c r="F52" s="12">
        <v>6.1717187207247746E-3</v>
      </c>
      <c r="G52" s="12">
        <f>_xlfn.XLOOKUP(Table9[[#This Row],[کدشعبه ]],'[1]60 روزه'!A:A,'[1]60 روزه'!E:E,1)</f>
        <v>2.7936050101673863E-3</v>
      </c>
      <c r="H52" s="12">
        <v>1.9684240310952495E-3</v>
      </c>
      <c r="I52" s="12">
        <v>1.9113638946004748E-3</v>
      </c>
      <c r="J52" s="12">
        <v>3.0632043576247288E-3</v>
      </c>
      <c r="K52" s="12">
        <v>3.2522990000720827E-3</v>
      </c>
      <c r="L52" s="12">
        <v>2.701647161750326E-3</v>
      </c>
      <c r="M52" s="12">
        <v>2.7936050101673863E-3</v>
      </c>
      <c r="N52" s="13">
        <v>2.47014295665546E-3</v>
      </c>
      <c r="O52" s="12">
        <f>N52-J52</f>
        <v>-5.9306140096926883E-4</v>
      </c>
      <c r="P52" s="14" t="e">
        <f>_xlfn.XLOOKUP(Table9[[#This Row],[کدشعبه ]],[1]!Table28[کد فروشگاه],[1]!Table28[Column1],"*",0)</f>
        <v>#REF!</v>
      </c>
      <c r="Q52" s="12">
        <f>N52-(M52*0.15)</f>
        <v>2.0511022051303519E-3</v>
      </c>
      <c r="R52" s="12">
        <f>Q52-J52</f>
        <v>-1.0121021524943769E-3</v>
      </c>
      <c r="S52" s="15">
        <f>Table9[[#This Row],[تارگت22 مهر]]/Table9[[#This Row],[درصد راکد15مهر]]</f>
        <v>0.83035769229628575</v>
      </c>
      <c r="T52" s="12" t="str">
        <f>IF(J52-N52&gt;=1%,"عالی",IF(J52-N52&gt;=0.5%,"خوب",IF(J52-N52&gt;=0.2%,"متوسط","ضعیف")))</f>
        <v>ضعیف</v>
      </c>
    </row>
    <row r="53" spans="1:20" x14ac:dyDescent="0.3">
      <c r="A53" s="8" t="str">
        <f>VLOOKUP(Table9[[#This Row],[نام شعبه ]],[1]دیتا!E:G,3,0)</f>
        <v>مصطفی سیفی</v>
      </c>
      <c r="B53" s="9" t="s">
        <v>15</v>
      </c>
      <c r="C53" s="10" t="s">
        <v>16</v>
      </c>
      <c r="D53" s="11">
        <v>354633415</v>
      </c>
      <c r="E53" s="12">
        <v>8.9042383193473247E-4</v>
      </c>
      <c r="F53" s="12">
        <v>1.6925813161295306E-3</v>
      </c>
      <c r="G53" s="12">
        <f>_xlfn.XLOOKUP(Table9[[#This Row],[کدشعبه ]],'[1]60 روزه'!A:A,'[1]60 روزه'!E:E,1)</f>
        <v>5.3317974683666841E-3</v>
      </c>
      <c r="H53" s="12">
        <v>7.9667077350330916E-3</v>
      </c>
      <c r="I53" s="12">
        <v>3.2033341268976859E-3</v>
      </c>
      <c r="J53" s="12">
        <v>8.042493479633905E-3</v>
      </c>
      <c r="K53" s="12">
        <v>7.8816236386678416E-3</v>
      </c>
      <c r="L53" s="12">
        <v>5.4546384211612963E-3</v>
      </c>
      <c r="M53" s="12">
        <v>5.3317974683666841E-3</v>
      </c>
      <c r="N53" s="13">
        <v>4.6799710755564211E-3</v>
      </c>
      <c r="O53" s="12">
        <f>N53-J53</f>
        <v>-3.3625224040774839E-3</v>
      </c>
      <c r="P53" s="14" t="e">
        <f>_xlfn.XLOOKUP(Table9[[#This Row],[کدشعبه ]],[1]!Table28[کد فروشگاه],[1]!Table28[Column1],"*",0)</f>
        <v>#REF!</v>
      </c>
      <c r="Q53" s="12">
        <f>N53-(M53*0.15)</f>
        <v>3.8802014553014188E-3</v>
      </c>
      <c r="R53" s="12">
        <f>Q53-J53</f>
        <v>-4.1622920243324863E-3</v>
      </c>
      <c r="S53" s="15">
        <f>Table9[[#This Row],[تارگت22 مهر]]/Table9[[#This Row],[درصد راکد15مهر]]</f>
        <v>0.82910799931388157</v>
      </c>
      <c r="T53" s="12" t="str">
        <f>IF(J53-N53&gt;=1%,"عالی",IF(J53-N53&gt;=0.5%,"خوب",IF(J53-N53&gt;=0.2%,"متوسط","ضعیف")))</f>
        <v>متوسط</v>
      </c>
    </row>
    <row r="54" spans="1:20" x14ac:dyDescent="0.3">
      <c r="A54" s="8" t="str">
        <f>VLOOKUP(Table9[[#This Row],[نام شعبه ]],[1]دیتا!E:G,3,0)</f>
        <v>مرتضی رضایی</v>
      </c>
      <c r="B54" s="9" t="s">
        <v>93</v>
      </c>
      <c r="C54" s="10" t="s">
        <v>94</v>
      </c>
      <c r="D54" s="11">
        <v>1028539899</v>
      </c>
      <c r="E54" s="12">
        <v>4.9668239576125234E-2</v>
      </c>
      <c r="F54" s="12">
        <v>5.2552494914233083E-2</v>
      </c>
      <c r="G54" s="12">
        <f>_xlfn.XLOOKUP(Table9[[#This Row],[کدشعبه ]],'[1]60 روزه'!A:A,'[1]60 روزه'!E:E,1)</f>
        <v>2.6820325786517853E-2</v>
      </c>
      <c r="H54" s="12">
        <v>4.4985050707309307E-2</v>
      </c>
      <c r="I54" s="12">
        <v>4.208667028576292E-2</v>
      </c>
      <c r="J54" s="12">
        <v>5.0937982019152853E-2</v>
      </c>
      <c r="K54" s="12">
        <v>3.3596146137826195E-2</v>
      </c>
      <c r="L54" s="12">
        <v>3.1258759640485322E-2</v>
      </c>
      <c r="M54" s="12">
        <v>2.682032578651785E-2</v>
      </c>
      <c r="N54" s="13">
        <v>2.3339763665473353E-2</v>
      </c>
      <c r="O54" s="12">
        <f>N54-J54</f>
        <v>-2.75982183536795E-2</v>
      </c>
      <c r="P54" s="14" t="e">
        <f>_xlfn.XLOOKUP(Table9[[#This Row],[کدشعبه ]],[1]!Table28[کد فروشگاه],[1]!Table28[Column1],"*",0)</f>
        <v>#REF!</v>
      </c>
      <c r="Q54" s="12">
        <f>N54-(M54*0.15)</f>
        <v>1.9316714797495676E-2</v>
      </c>
      <c r="R54" s="12">
        <f>Q54-J54</f>
        <v>-3.1621267221657173E-2</v>
      </c>
      <c r="S54" s="15">
        <f>Table9[[#This Row],[تارگت22 مهر]]/Table9[[#This Row],[درصد راکد15مهر]]</f>
        <v>0.82763112233527036</v>
      </c>
      <c r="T54" s="12" t="str">
        <f>IF(J54-N54&gt;=1%,"عالی",IF(J54-N54&gt;=0.5%,"خوب",IF(J54-N54&gt;=0.2%,"متوسط","ضعیف")))</f>
        <v>عالی</v>
      </c>
    </row>
    <row r="55" spans="1:20" x14ac:dyDescent="0.3">
      <c r="A55" s="8" t="str">
        <f>VLOOKUP(Table9[[#This Row],[نام شعبه ]],[1]دیتا!E:G,3,0)</f>
        <v>محمد کاظم بستامی</v>
      </c>
      <c r="B55" s="9" t="s">
        <v>113</v>
      </c>
      <c r="C55" s="10" t="s">
        <v>114</v>
      </c>
      <c r="D55" s="11">
        <v>4411910957</v>
      </c>
      <c r="E55" s="12">
        <v>6.9771852300155882E-2</v>
      </c>
      <c r="F55" s="12">
        <v>7.0612593177831987E-2</v>
      </c>
      <c r="G55" s="12">
        <f>_xlfn.XLOOKUP(Table9[[#This Row],[کدشعبه ]],'[1]60 روزه'!A:A,'[1]60 روزه'!E:E,1)</f>
        <v>8.0916197739795956E-2</v>
      </c>
      <c r="H55" s="12">
        <v>6.9982370859646051E-2</v>
      </c>
      <c r="I55" s="12">
        <v>6.4692601818579748E-2</v>
      </c>
      <c r="J55" s="12">
        <v>7.0137517803396526E-2</v>
      </c>
      <c r="K55" s="12">
        <v>7.0275081338641049E-2</v>
      </c>
      <c r="L55" s="12">
        <v>7.7425264953577419E-2</v>
      </c>
      <c r="M55" s="12">
        <v>8.091619773979597E-2</v>
      </c>
      <c r="N55" s="13">
        <v>7.0067690288394838E-2</v>
      </c>
      <c r="O55" s="12">
        <f>N55-J55</f>
        <v>-6.98275150016886E-5</v>
      </c>
      <c r="P55" s="14" t="e">
        <f>_xlfn.XLOOKUP(Table9[[#This Row],[کدشعبه ]],[1]!Table28[کد فروشگاه],[1]!Table28[Column1],"*",0)</f>
        <v>#REF!</v>
      </c>
      <c r="Q55" s="12">
        <f>N55-(M55*0.15)</f>
        <v>5.7930260627425442E-2</v>
      </c>
      <c r="R55" s="12">
        <f>Q55-J55</f>
        <v>-1.2207257175971084E-2</v>
      </c>
      <c r="S55" s="15">
        <f>Table9[[#This Row],[تارگت22 مهر]]/Table9[[#This Row],[درصد راکد15مهر]]</f>
        <v>0.82677565635441397</v>
      </c>
      <c r="T55" s="12" t="str">
        <f>IF(J55-N55&gt;=1%,"عالی",IF(J55-N55&gt;=0.5%,"خوب",IF(J55-N55&gt;=0.2%,"متوسط","ضعیف")))</f>
        <v>ضعیف</v>
      </c>
    </row>
    <row r="56" spans="1:20" x14ac:dyDescent="0.3">
      <c r="A56" s="8" t="str">
        <f>VLOOKUP(Table9[[#This Row],[نام شعبه ]],[1]دیتا!E:G,3,0)</f>
        <v>علی ابراهیمی نیا</v>
      </c>
      <c r="B56" s="9" t="s">
        <v>147</v>
      </c>
      <c r="C56" s="10" t="s">
        <v>148</v>
      </c>
      <c r="D56" s="11">
        <v>1148623647</v>
      </c>
      <c r="E56" s="12">
        <v>2.1991713139132483E-2</v>
      </c>
      <c r="F56" s="12">
        <v>2.4894666557002749E-2</v>
      </c>
      <c r="G56" s="12">
        <f>_xlfn.XLOOKUP(Table9[[#This Row],[کدشعبه ]],'[1]60 روزه'!A:A,'[1]60 روزه'!E:E,1)</f>
        <v>1.5644140159389319E-2</v>
      </c>
      <c r="H56" s="12">
        <v>2.0868122756009883E-2</v>
      </c>
      <c r="I56" s="12">
        <v>2.29180864330326E-2</v>
      </c>
      <c r="J56" s="12">
        <v>1.9902144940693939E-2</v>
      </c>
      <c r="K56" s="12">
        <v>1.4649821384766419E-2</v>
      </c>
      <c r="L56" s="12">
        <v>1.7179720642912708E-2</v>
      </c>
      <c r="M56" s="12">
        <v>1.5644140159389319E-2</v>
      </c>
      <c r="N56" s="13">
        <v>1.3504614128866834E-2</v>
      </c>
      <c r="O56" s="12">
        <f>N56-J56</f>
        <v>-6.3975308118271058E-3</v>
      </c>
      <c r="P56" s="14" t="e">
        <f>_xlfn.XLOOKUP(Table9[[#This Row],[کدشعبه ]],[1]!Table28[کد فروشگاه],[1]!Table28[Column1],"*",0)</f>
        <v>#REF!</v>
      </c>
      <c r="Q56" s="12">
        <f>N56-(M56*0.15)</f>
        <v>1.1157993104958436E-2</v>
      </c>
      <c r="R56" s="12">
        <f>Q56-J56</f>
        <v>-8.7441518357355037E-3</v>
      </c>
      <c r="S56" s="15">
        <f>Table9[[#This Row],[تارگت22 مهر]]/Table9[[#This Row],[درصد راکد15مهر]]</f>
        <v>0.82623561091668885</v>
      </c>
      <c r="T56" s="12" t="str">
        <f>IF(J56-N56&gt;=1%,"عالی",IF(J56-N56&gt;=0.5%,"خوب",IF(J56-N56&gt;=0.2%,"متوسط","ضعیف")))</f>
        <v>خوب</v>
      </c>
    </row>
    <row r="57" spans="1:20" x14ac:dyDescent="0.3">
      <c r="A57" s="8" t="str">
        <f>VLOOKUP(Table9[[#This Row],[نام شعبه ]],[1]دیتا!E:G,3,0)</f>
        <v>محسن ملکی</v>
      </c>
      <c r="B57" s="9" t="s">
        <v>127</v>
      </c>
      <c r="C57" s="10" t="s">
        <v>128</v>
      </c>
      <c r="D57" s="11">
        <v>667113139</v>
      </c>
      <c r="E57" s="12">
        <v>2.8750288682105694E-2</v>
      </c>
      <c r="F57" s="12">
        <v>2.9040687776046188E-2</v>
      </c>
      <c r="G57" s="12">
        <f>_xlfn.XLOOKUP(Table9[[#This Row],[کدشعبه ]],'[1]60 روزه'!A:A,'[1]60 روزه'!E:E,1)</f>
        <v>1.3615311508739056E-2</v>
      </c>
      <c r="H57" s="12">
        <v>1.7231245662504141E-2</v>
      </c>
      <c r="I57" s="12">
        <v>1.8078558711144627E-2</v>
      </c>
      <c r="J57" s="12">
        <v>2.0351200025533461E-2</v>
      </c>
      <c r="K57" s="12">
        <v>1.1918213682657108E-2</v>
      </c>
      <c r="L57" s="12">
        <v>1.1874928066198357E-2</v>
      </c>
      <c r="M57" s="12">
        <v>1.3615311508739056E-2</v>
      </c>
      <c r="N57" s="13">
        <v>1.1512044519587384E-2</v>
      </c>
      <c r="O57" s="12">
        <f>N57-J57</f>
        <v>-8.8391555059460763E-3</v>
      </c>
      <c r="P57" s="14" t="e">
        <f>_xlfn.XLOOKUP(Table9[[#This Row],[کدشعبه ]],[1]!Table28[کد فروشگاه],[1]!Table28[Column1],"*",0)</f>
        <v>#REF!</v>
      </c>
      <c r="Q57" s="12">
        <f>N57-(M57*0.15)</f>
        <v>9.4697477932765266E-3</v>
      </c>
      <c r="R57" s="12">
        <f>Q57-J57</f>
        <v>-1.0881452232256934E-2</v>
      </c>
      <c r="S57" s="15">
        <f>Table9[[#This Row],[تارگت22 مهر]]/Table9[[#This Row],[درصد راکد15مهر]]</f>
        <v>0.82259478558861077</v>
      </c>
      <c r="T57" s="12" t="str">
        <f>IF(J57-N57&gt;=1%,"عالی",IF(J57-N57&gt;=0.5%,"خوب",IF(J57-N57&gt;=0.2%,"متوسط","ضعیف")))</f>
        <v>خوب</v>
      </c>
    </row>
    <row r="58" spans="1:20" x14ac:dyDescent="0.3">
      <c r="A58" s="8" t="str">
        <f>VLOOKUP(Table9[[#This Row],[نام شعبه ]],[1]دیتا!E:G,3,0)</f>
        <v>مرتضی رضایی</v>
      </c>
      <c r="B58" s="9" t="s">
        <v>23</v>
      </c>
      <c r="C58" s="10" t="s">
        <v>24</v>
      </c>
      <c r="D58" s="11">
        <v>599181160</v>
      </c>
      <c r="E58" s="12">
        <v>1.1403451326746111E-2</v>
      </c>
      <c r="F58" s="12">
        <v>1.1716300837045206E-2</v>
      </c>
      <c r="G58" s="12">
        <f>_xlfn.XLOOKUP(Table9[[#This Row],[کدشعبه ]],'[1]60 روزه'!A:A,'[1]60 روزه'!E:E,1)</f>
        <v>7.6778434044288881E-3</v>
      </c>
      <c r="H58" s="12">
        <v>9.0712952243875451E-3</v>
      </c>
      <c r="I58" s="12">
        <v>7.2600224244833179E-3</v>
      </c>
      <c r="J58" s="12">
        <v>5.7789460011330729E-3</v>
      </c>
      <c r="K58" s="12">
        <v>7.5630100002655578E-3</v>
      </c>
      <c r="L58" s="12">
        <v>6.4336712034861665E-3</v>
      </c>
      <c r="M58" s="12">
        <v>7.6778434044288881E-3</v>
      </c>
      <c r="N58" s="13">
        <v>6.3838695538422112E-3</v>
      </c>
      <c r="O58" s="12">
        <f>N58-J58</f>
        <v>6.0492355270913827E-4</v>
      </c>
      <c r="P58" s="14" t="e">
        <f>_xlfn.XLOOKUP(Table9[[#This Row],[کدشعبه ]],[1]!Table28[کد فروشگاه],[1]!Table28[Column1],"*",0)</f>
        <v>#REF!</v>
      </c>
      <c r="Q58" s="12">
        <f>N58-(M58*0.15)</f>
        <v>5.2321930431778775E-3</v>
      </c>
      <c r="R58" s="12">
        <f>Q58-J58</f>
        <v>-5.4675295795519538E-4</v>
      </c>
      <c r="S58" s="15">
        <f>Table9[[#This Row],[تارگت22 مهر]]/Table9[[#This Row],[درصد راکد15مهر]]</f>
        <v>0.81959585781774269</v>
      </c>
      <c r="T58" s="12" t="str">
        <f>IF(J58-N58&gt;=1%,"عالی",IF(J58-N58&gt;=0.5%,"خوب",IF(J58-N58&gt;=0.2%,"متوسط","ضعیف")))</f>
        <v>ضعیف</v>
      </c>
    </row>
    <row r="59" spans="1:20" x14ac:dyDescent="0.3">
      <c r="A59" s="8" t="str">
        <f>VLOOKUP(Table9[[#This Row],[نام شعبه ]],[1]دیتا!E:G,3,0)</f>
        <v xml:space="preserve">فیاض رحیم زاده </v>
      </c>
      <c r="B59" s="9" t="s">
        <v>101</v>
      </c>
      <c r="C59" s="10" t="s">
        <v>102</v>
      </c>
      <c r="D59" s="11">
        <v>604458890</v>
      </c>
      <c r="E59" s="12">
        <v>1.2768129288037867E-2</v>
      </c>
      <c r="F59" s="12">
        <v>1.0747070913713958E-2</v>
      </c>
      <c r="G59" s="12">
        <f>_xlfn.XLOOKUP(Table9[[#This Row],[کدشعبه ]],'[1]60 روزه'!A:A,'[1]60 روزه'!E:E,1)</f>
        <v>1.1006352736173289E-2</v>
      </c>
      <c r="H59" s="12">
        <v>1.2750345452762194E-2</v>
      </c>
      <c r="I59" s="12">
        <v>1.077579712470483E-2</v>
      </c>
      <c r="J59" s="12">
        <v>1.3768890702406516E-2</v>
      </c>
      <c r="K59" s="12">
        <v>1.2150031250758355E-2</v>
      </c>
      <c r="L59" s="12">
        <v>1.2526008868355037E-2</v>
      </c>
      <c r="M59" s="12">
        <v>1.1006352736173289E-2</v>
      </c>
      <c r="N59" s="13">
        <v>9.0804672960282783E-3</v>
      </c>
      <c r="O59" s="12">
        <f>N59-J59</f>
        <v>-4.6884234063782372E-3</v>
      </c>
      <c r="P59" s="14" t="e">
        <f>_xlfn.XLOOKUP(Table9[[#This Row],[کدشعبه ]],[1]!Table28[کد فروشگاه],[1]!Table28[Column1],"*",0)</f>
        <v>#REF!</v>
      </c>
      <c r="Q59" s="12">
        <f>N59-(M59*0.15)</f>
        <v>7.4295143856022853E-3</v>
      </c>
      <c r="R59" s="12">
        <f>Q59-J59</f>
        <v>-6.3393763168042303E-3</v>
      </c>
      <c r="S59" s="15">
        <f>Table9[[#This Row],[تارگت22 مهر]]/Table9[[#This Row],[درصد راکد15مهر]]</f>
        <v>0.81818634915979416</v>
      </c>
      <c r="T59" s="12" t="str">
        <f>IF(J59-N59&gt;=1%,"عالی",IF(J59-N59&gt;=0.5%,"خوب",IF(J59-N59&gt;=0.2%,"متوسط","ضعیف")))</f>
        <v>متوسط</v>
      </c>
    </row>
    <row r="60" spans="1:20" x14ac:dyDescent="0.3">
      <c r="A60" s="8" t="str">
        <f>VLOOKUP(Table9[[#This Row],[نام شعبه ]],[1]دیتا!E:G,3,0)</f>
        <v>محمد کاظم بستامی</v>
      </c>
      <c r="B60" s="9" t="s">
        <v>107</v>
      </c>
      <c r="C60" s="10" t="s">
        <v>108</v>
      </c>
      <c r="D60" s="11">
        <v>260416000</v>
      </c>
      <c r="E60" s="12">
        <v>5.7639073345330622E-3</v>
      </c>
      <c r="F60" s="12">
        <v>6.4351761871552157E-3</v>
      </c>
      <c r="G60" s="12">
        <f>_xlfn.XLOOKUP(Table9[[#This Row],[کدشعبه ]],'[1]60 روزه'!A:A,'[1]60 روزه'!E:E,1)</f>
        <v>7.286455992442745E-3</v>
      </c>
      <c r="H60" s="12">
        <v>2.0619178537108268E-3</v>
      </c>
      <c r="I60" s="12">
        <v>4.4409306796008678E-3</v>
      </c>
      <c r="J60" s="12">
        <v>6.5560070450994519E-3</v>
      </c>
      <c r="K60" s="12">
        <v>7.0423632956180112E-3</v>
      </c>
      <c r="L60" s="12">
        <v>7.5826054286262439E-3</v>
      </c>
      <c r="M60" s="12">
        <v>7.286455992442745E-3</v>
      </c>
      <c r="N60" s="13">
        <v>5.9422484531633669E-3</v>
      </c>
      <c r="O60" s="12">
        <f>N60-J60</f>
        <v>-6.1375859193608506E-4</v>
      </c>
      <c r="P60" s="14" t="e">
        <f>_xlfn.XLOOKUP(Table9[[#This Row],[کدشعبه ]],[1]!Table28[کد فروشگاه],[1]!Table28[Column1],"*",0)</f>
        <v>#REF!</v>
      </c>
      <c r="Q60" s="12">
        <f>N60-(M60*0.15)</f>
        <v>4.849280054296955E-3</v>
      </c>
      <c r="R60" s="12">
        <f>Q60-J60</f>
        <v>-1.7067269908024969E-3</v>
      </c>
      <c r="S60" s="15">
        <f>Table9[[#This Row],[تارگت22 مهر]]/Table9[[#This Row],[درصد راکد15مهر]]</f>
        <v>0.81606820928455659</v>
      </c>
      <c r="T60" s="12" t="str">
        <f>IF(J60-N60&gt;=1%,"عالی",IF(J60-N60&gt;=0.5%,"خوب",IF(J60-N60&gt;=0.2%,"متوسط","ضعیف")))</f>
        <v>ضعیف</v>
      </c>
    </row>
    <row r="61" spans="1:20" x14ac:dyDescent="0.3">
      <c r="A61" s="8" t="str">
        <f>VLOOKUP(Table9[[#This Row],[نام شعبه ]],[1]دیتا!E:G,3,0)</f>
        <v>محمد کاظم بستامی</v>
      </c>
      <c r="B61" s="9" t="s">
        <v>31</v>
      </c>
      <c r="C61" s="10" t="s">
        <v>32</v>
      </c>
      <c r="D61" s="11">
        <v>494402520</v>
      </c>
      <c r="E61" s="12">
        <v>1.034246290889285E-2</v>
      </c>
      <c r="F61" s="12">
        <v>1.0127304124117439E-2</v>
      </c>
      <c r="G61" s="12">
        <f>_xlfn.XLOOKUP(Table9[[#This Row],[کدشعبه ]],'[1]60 روزه'!A:A,'[1]60 روزه'!E:E,1)</f>
        <v>7.7930201495586653E-3</v>
      </c>
      <c r="H61" s="12">
        <v>1.1122606973150411E-2</v>
      </c>
      <c r="I61" s="12">
        <v>1.1632759722746817E-2</v>
      </c>
      <c r="J61" s="12">
        <v>1.2814716586725795E-2</v>
      </c>
      <c r="K61" s="12">
        <v>1.206668837456887E-2</v>
      </c>
      <c r="L61" s="12">
        <v>1.0374204958862491E-2</v>
      </c>
      <c r="M61" s="12">
        <v>7.7930201495586653E-3</v>
      </c>
      <c r="N61" s="13">
        <v>6.1130772769820109E-3</v>
      </c>
      <c r="O61" s="12">
        <f>N61-J61</f>
        <v>-6.7016393097437841E-3</v>
      </c>
      <c r="P61" s="14" t="e">
        <f>_xlfn.XLOOKUP(Table9[[#This Row],[کدشعبه ]],[1]!Table28[کد فروشگاه],[1]!Table28[Column1],"*",0)</f>
        <v>#REF!</v>
      </c>
      <c r="Q61" s="12">
        <f>N61-(M61*0.15)</f>
        <v>4.9441242545482109E-3</v>
      </c>
      <c r="R61" s="12">
        <f>Q61-J61</f>
        <v>-7.8705923321775832E-3</v>
      </c>
      <c r="S61" s="15">
        <f>Table9[[#This Row],[تارگت22 مهر]]/Table9[[#This Row],[درصد راکد15مهر]]</f>
        <v>0.80877830109634985</v>
      </c>
      <c r="T61" s="12" t="str">
        <f>IF(J61-N61&gt;=1%,"عالی",IF(J61-N61&gt;=0.5%,"خوب",IF(J61-N61&gt;=0.2%,"متوسط","ضعیف")))</f>
        <v>خوب</v>
      </c>
    </row>
    <row r="62" spans="1:20" x14ac:dyDescent="0.3">
      <c r="A62" s="8" t="str">
        <f>VLOOKUP(Table9[[#This Row],[نام شعبه ]],[1]دیتا!E:G,3,0)</f>
        <v>جواد رستمی</v>
      </c>
      <c r="B62" s="9" t="s">
        <v>121</v>
      </c>
      <c r="C62" s="10" t="s">
        <v>122</v>
      </c>
      <c r="D62" s="11">
        <v>180118000</v>
      </c>
      <c r="E62" s="12">
        <v>1.1115101719694633E-2</v>
      </c>
      <c r="F62" s="12">
        <v>9.6100177220217568E-3</v>
      </c>
      <c r="G62" s="12">
        <f>_xlfn.XLOOKUP(Table9[[#This Row],[کدشعبه ]],'[1]60 روزه'!A:A,'[1]60 روزه'!E:E,1)</f>
        <v>4.3466493800161004E-3</v>
      </c>
      <c r="H62" s="12">
        <v>6.7537699706535156E-3</v>
      </c>
      <c r="I62" s="12">
        <v>6.2581937735715076E-3</v>
      </c>
      <c r="J62" s="12">
        <v>7.0078263206408489E-3</v>
      </c>
      <c r="K62" s="12">
        <v>6.1573661283778752E-3</v>
      </c>
      <c r="L62" s="12">
        <v>6.752604277255941E-3</v>
      </c>
      <c r="M62" s="12">
        <v>4.3466493800161012E-3</v>
      </c>
      <c r="N62" s="13">
        <v>3.3922022618478875E-3</v>
      </c>
      <c r="O62" s="12">
        <f>N62-J62</f>
        <v>-3.6156240587929614E-3</v>
      </c>
      <c r="P62" s="14" t="e">
        <f>_xlfn.XLOOKUP(Table9[[#This Row],[کدشعبه ]],[1]!Table28[کد فروشگاه],[1]!Table28[Column1],"*",0)</f>
        <v>#REF!</v>
      </c>
      <c r="Q62" s="12">
        <f>N62-(M62*0.15)</f>
        <v>2.7402048548454726E-3</v>
      </c>
      <c r="R62" s="12">
        <f>Q62-J62</f>
        <v>-4.2676214657953763E-3</v>
      </c>
      <c r="S62" s="15">
        <f>Table9[[#This Row],[تارگت22 مهر]]/Table9[[#This Row],[درصد راکد15مهر]]</f>
        <v>0.8077952443062042</v>
      </c>
      <c r="T62" s="12" t="str">
        <f>IF(J62-N62&gt;=1%,"عالی",IF(J62-N62&gt;=0.5%,"خوب",IF(J62-N62&gt;=0.2%,"متوسط","ضعیف")))</f>
        <v>متوسط</v>
      </c>
    </row>
    <row r="63" spans="1:20" x14ac:dyDescent="0.3">
      <c r="A63" s="8" t="str">
        <f>VLOOKUP(Table9[[#This Row],[نام شعبه ]],[1]دیتا!E:G,3,0)</f>
        <v>جواد رستمی</v>
      </c>
      <c r="B63" s="9" t="s">
        <v>75</v>
      </c>
      <c r="C63" s="10" t="s">
        <v>76</v>
      </c>
      <c r="D63" s="11">
        <v>1946114318</v>
      </c>
      <c r="E63" s="12">
        <v>6.005360578623483E-2</v>
      </c>
      <c r="F63" s="12">
        <v>6.1726757554178779E-2</v>
      </c>
      <c r="G63" s="12">
        <f>_xlfn.XLOOKUP(Table9[[#This Row],[کدشعبه ]],'[1]60 روزه'!A:A,'[1]60 روزه'!E:E,1)</f>
        <v>3.7794699795367599E-2</v>
      </c>
      <c r="H63" s="12">
        <v>5.2646904092807124E-2</v>
      </c>
      <c r="I63" s="12">
        <v>4.8632968366377864E-2</v>
      </c>
      <c r="J63" s="12">
        <v>3.8186708460752547E-2</v>
      </c>
      <c r="K63" s="12">
        <v>3.8251546679893993E-2</v>
      </c>
      <c r="L63" s="12">
        <v>3.8182146806652717E-2</v>
      </c>
      <c r="M63" s="12">
        <v>3.7794699795367606E-2</v>
      </c>
      <c r="N63" s="13">
        <v>2.8774346691567101E-2</v>
      </c>
      <c r="O63" s="12">
        <f>N63-J63</f>
        <v>-9.4123617691854455E-3</v>
      </c>
      <c r="P63" s="14" t="e">
        <f>_xlfn.XLOOKUP(Table9[[#This Row],[کدشعبه ]],[1]!Table28[کد فروشگاه],[1]!Table28[Column1],"*",0)</f>
        <v>#REF!</v>
      </c>
      <c r="Q63" s="12">
        <f>N63-(M63*0.15)</f>
        <v>2.3105141722261961E-2</v>
      </c>
      <c r="R63" s="12">
        <f>Q63-J63</f>
        <v>-1.5081566738490586E-2</v>
      </c>
      <c r="S63" s="15">
        <f>Table9[[#This Row],[تارگت22 مهر]]/Table9[[#This Row],[درصد راکد15مهر]]</f>
        <v>0.80297710908701136</v>
      </c>
      <c r="T63" s="12" t="str">
        <f>IF(J63-N63&gt;=1%,"عالی",IF(J63-N63&gt;=0.5%,"خوب",IF(J63-N63&gt;=0.2%,"متوسط","ضعیف")))</f>
        <v>خوب</v>
      </c>
    </row>
    <row r="64" spans="1:20" x14ac:dyDescent="0.3">
      <c r="A64" s="8" t="str">
        <f>VLOOKUP(Table9[[#This Row],[نام شعبه ]],[1]دیتا!E:G,3,0)</f>
        <v xml:space="preserve">میثم جلالوند </v>
      </c>
      <c r="B64" s="9" t="s">
        <v>83</v>
      </c>
      <c r="C64" s="10" t="s">
        <v>84</v>
      </c>
      <c r="D64" s="11">
        <v>1384701944</v>
      </c>
      <c r="E64" s="12">
        <v>2.3199887244546573E-2</v>
      </c>
      <c r="F64" s="12">
        <v>2.223096948905005E-2</v>
      </c>
      <c r="G64" s="12">
        <f>_xlfn.XLOOKUP(Table9[[#This Row],[کدشعبه ]],'[1]60 روزه'!A:A,'[1]60 روزه'!E:E,1)</f>
        <v>2.6001077007008263E-2</v>
      </c>
      <c r="H64" s="12">
        <v>2.320750623959613E-2</v>
      </c>
      <c r="I64" s="12">
        <v>2.4265564241937543E-2</v>
      </c>
      <c r="J64" s="12">
        <v>1.9987073806653426E-2</v>
      </c>
      <c r="K64" s="12">
        <v>2.4425602922967617E-2</v>
      </c>
      <c r="L64" s="12">
        <v>2.5462989694561036E-2</v>
      </c>
      <c r="M64" s="12">
        <v>2.6001077007008256E-2</v>
      </c>
      <c r="N64" s="13">
        <v>1.9785325360212654E-2</v>
      </c>
      <c r="O64" s="12">
        <f>N64-J64</f>
        <v>-2.0174844644077136E-4</v>
      </c>
      <c r="P64" s="14" t="e">
        <f>_xlfn.XLOOKUP(Table9[[#This Row],[کدشعبه ]],[1]!Table28[کد فروشگاه],[1]!Table28[Column1],"*",0)</f>
        <v>#REF!</v>
      </c>
      <c r="Q64" s="12">
        <f>N64-(M64*0.15)</f>
        <v>1.5885163809161416E-2</v>
      </c>
      <c r="R64" s="12">
        <f>Q64-J64</f>
        <v>-4.1019099974920099E-3</v>
      </c>
      <c r="S64" s="15">
        <f>Table9[[#This Row],[تارگت22 مهر]]/Table9[[#This Row],[درصد راکد15مهر]]</f>
        <v>0.80287604676472613</v>
      </c>
      <c r="T64" s="12" t="str">
        <f>IF(J64-N64&gt;=1%,"عالی",IF(J64-N64&gt;=0.5%,"خوب",IF(J64-N64&gt;=0.2%,"متوسط","ضعیف")))</f>
        <v>ضعیف</v>
      </c>
    </row>
    <row r="65" spans="1:20" x14ac:dyDescent="0.3">
      <c r="A65" s="8" t="str">
        <f>VLOOKUP(Table9[[#This Row],[نام شعبه ]],[1]دیتا!E:G,3,0)</f>
        <v>علی ابراهیمی نیا</v>
      </c>
      <c r="B65" s="9" t="s">
        <v>81</v>
      </c>
      <c r="C65" s="10" t="s">
        <v>82</v>
      </c>
      <c r="D65" s="11">
        <v>1255273506</v>
      </c>
      <c r="E65" s="12">
        <v>3.4504009284008055E-2</v>
      </c>
      <c r="F65" s="12">
        <v>3.4014995781606286E-2</v>
      </c>
      <c r="G65" s="12">
        <f>_xlfn.XLOOKUP(Table9[[#This Row],[کدشعبه ]],'[1]60 روزه'!A:A,'[1]60 روزه'!E:E,1)</f>
        <v>2.4295434279698304E-2</v>
      </c>
      <c r="H65" s="12">
        <v>2.2160190308401977E-2</v>
      </c>
      <c r="I65" s="12">
        <v>2.4371876144865232E-2</v>
      </c>
      <c r="J65" s="12">
        <v>2.3189729208341173E-2</v>
      </c>
      <c r="K65" s="12">
        <v>2.5968580311572422E-2</v>
      </c>
      <c r="L65" s="12">
        <v>2.6699341329457012E-2</v>
      </c>
      <c r="M65" s="12">
        <v>2.4295434279698304E-2</v>
      </c>
      <c r="N65" s="13">
        <v>1.7992099691286817E-2</v>
      </c>
      <c r="O65" s="12">
        <f>N65-J65</f>
        <v>-5.1976295170543564E-3</v>
      </c>
      <c r="P65" s="14" t="e">
        <f>_xlfn.XLOOKUP(Table9[[#This Row],[کدشعبه ]],[1]!Table28[کد فروشگاه],[1]!Table28[Column1],"*",0)</f>
        <v>#REF!</v>
      </c>
      <c r="Q65" s="12">
        <f>N65-(M65*0.15)</f>
        <v>1.4347784549332072E-2</v>
      </c>
      <c r="R65" s="12">
        <f>Q65-J65</f>
        <v>-8.8419446590091016E-3</v>
      </c>
      <c r="S65" s="15">
        <f>Table9[[#This Row],[تارگت22 مهر]]/Table9[[#This Row],[درصد راکد15مهر]]</f>
        <v>0.79744914687641444</v>
      </c>
      <c r="T65" s="12" t="str">
        <f>IF(J65-N65&gt;=1%,"عالی",IF(J65-N65&gt;=0.5%,"خوب",IF(J65-N65&gt;=0.2%,"متوسط","ضعیف")))</f>
        <v>خوب</v>
      </c>
    </row>
    <row r="66" spans="1:20" x14ac:dyDescent="0.3">
      <c r="A66" s="8" t="str">
        <f>VLOOKUP(Table9[[#This Row],[نام شعبه ]],[1]دیتا!E:G,3,0)</f>
        <v xml:space="preserve">فیاض رحیم زاده </v>
      </c>
      <c r="B66" s="9" t="s">
        <v>135</v>
      </c>
      <c r="C66" s="10" t="s">
        <v>136</v>
      </c>
      <c r="D66" s="11">
        <v>1055088773</v>
      </c>
      <c r="E66" s="12">
        <v>2.0073786369243268E-2</v>
      </c>
      <c r="F66" s="12">
        <v>2.0319720095397609E-2</v>
      </c>
      <c r="G66" s="12">
        <f>_xlfn.XLOOKUP(Table9[[#This Row],[کدشعبه ]],'[1]60 روزه'!A:A,'[1]60 روزه'!E:E,1)</f>
        <v>2.3735332140098847E-2</v>
      </c>
      <c r="H66" s="12">
        <v>2.0800632648672296E-2</v>
      </c>
      <c r="I66" s="12">
        <v>2.2087248167958897E-2</v>
      </c>
      <c r="J66" s="12">
        <v>2.0382850812173038E-2</v>
      </c>
      <c r="K66" s="12">
        <v>2.0801189094629562E-2</v>
      </c>
      <c r="L66" s="12">
        <v>2.4969273136436942E-2</v>
      </c>
      <c r="M66" s="12">
        <v>2.3735332140098857E-2</v>
      </c>
      <c r="N66" s="13">
        <v>1.7169977628696344E-2</v>
      </c>
      <c r="O66" s="12">
        <f>N66-J66</f>
        <v>-3.2128731834766937E-3</v>
      </c>
      <c r="P66" s="14" t="e">
        <f>_xlfn.XLOOKUP(Table9[[#This Row],[کدشعبه ]],[1]!Table28[کد فروشگاه],[1]!Table28[Column1],"*",0)</f>
        <v>#REF!</v>
      </c>
      <c r="Q66" s="12">
        <f>N66-(M66*0.15)</f>
        <v>1.3609677807681516E-2</v>
      </c>
      <c r="R66" s="12">
        <f>Q66-J66</f>
        <v>-6.7731730044915221E-3</v>
      </c>
      <c r="S66" s="15">
        <f>Table9[[#This Row],[تارگت22 مهر]]/Table9[[#This Row],[درصد راکد15مهر]]</f>
        <v>0.79264388702146782</v>
      </c>
      <c r="T66" s="12" t="str">
        <f>IF(J66-N66&gt;=1%,"عالی",IF(J66-N66&gt;=0.5%,"خوب",IF(J66-N66&gt;=0.2%,"متوسط","ضعیف")))</f>
        <v>متوسط</v>
      </c>
    </row>
    <row r="67" spans="1:20" x14ac:dyDescent="0.3">
      <c r="A67" s="8" t="str">
        <f>VLOOKUP(Table9[[#This Row],[نام شعبه ]],[1]دیتا!E:G,3,0)</f>
        <v>محمد کاظم بستامی</v>
      </c>
      <c r="B67" s="9" t="s">
        <v>131</v>
      </c>
      <c r="C67" s="10" t="s">
        <v>132</v>
      </c>
      <c r="D67" s="11">
        <v>778021000</v>
      </c>
      <c r="E67" s="12">
        <v>1.1170614974011249E-2</v>
      </c>
      <c r="F67" s="12">
        <v>1.2865355613715145E-2</v>
      </c>
      <c r="G67" s="12">
        <f>_xlfn.XLOOKUP(Table9[[#This Row],[کدشعبه ]],'[1]60 روزه'!A:A,'[1]60 روزه'!E:E,1)</f>
        <v>2.3875435711186586E-2</v>
      </c>
      <c r="H67" s="12">
        <v>1.3327985048418296E-2</v>
      </c>
      <c r="I67" s="12">
        <v>1.5294612604785767E-2</v>
      </c>
      <c r="J67" s="12">
        <v>1.9546867404557716E-2</v>
      </c>
      <c r="K67" s="12">
        <v>2.0056446458484162E-2</v>
      </c>
      <c r="L67" s="12">
        <v>2.3618904938877836E-2</v>
      </c>
      <c r="M67" s="12">
        <v>2.3875435711186586E-2</v>
      </c>
      <c r="N67" s="13">
        <v>1.6949114713067422E-2</v>
      </c>
      <c r="O67" s="12">
        <f>N67-J67</f>
        <v>-2.5977526914902939E-3</v>
      </c>
      <c r="P67" s="14" t="e">
        <f>_xlfn.XLOOKUP(Table9[[#This Row],[کدشعبه ]],[1]!Table28[کد فروشگاه],[1]!Table28[Column1],"*",0)</f>
        <v>#REF!</v>
      </c>
      <c r="Q67" s="12">
        <f>N67-(M67*0.15)</f>
        <v>1.3367799356389435E-2</v>
      </c>
      <c r="R67" s="12">
        <f>Q67-J67</f>
        <v>-6.1790680481682812E-3</v>
      </c>
      <c r="S67" s="15">
        <f>Table9[[#This Row],[تارگت22 مهر]]/Table9[[#This Row],[درصد راکد15مهر]]</f>
        <v>0.78870192235368697</v>
      </c>
      <c r="T67" s="12" t="str">
        <f>IF(J67-N67&gt;=1%,"عالی",IF(J67-N67&gt;=0.5%,"خوب",IF(J67-N67&gt;=0.2%,"متوسط","ضعیف")))</f>
        <v>متوسط</v>
      </c>
    </row>
    <row r="68" spans="1:20" x14ac:dyDescent="0.3">
      <c r="A68" s="8" t="str">
        <f>VLOOKUP(Table9[[#This Row],[نام شعبه ]],[1]دیتا!E:G,3,0)</f>
        <v>محمد کاظم بستامی</v>
      </c>
      <c r="B68" s="9" t="s">
        <v>39</v>
      </c>
      <c r="C68" s="10" t="s">
        <v>40</v>
      </c>
      <c r="D68" s="11">
        <v>625487910</v>
      </c>
      <c r="E68" s="12">
        <v>1.4077377278850622E-2</v>
      </c>
      <c r="F68" s="12">
        <v>1.4886539647694976E-2</v>
      </c>
      <c r="G68" s="12">
        <f>_xlfn.XLOOKUP(Table9[[#This Row],[کدشعبه ]],'[1]60 روزه'!A:A,'[1]60 روزه'!E:E,1)</f>
        <v>1.4957879106522484E-2</v>
      </c>
      <c r="H68" s="12">
        <v>1.8161131851352656E-2</v>
      </c>
      <c r="I68" s="12">
        <v>1.718833989999486E-2</v>
      </c>
      <c r="J68" s="12">
        <v>1.8570170179467667E-2</v>
      </c>
      <c r="K68" s="12">
        <v>1.4947565725274123E-2</v>
      </c>
      <c r="L68" s="12">
        <v>1.3099314983762274E-2</v>
      </c>
      <c r="M68" s="12">
        <v>1.4957879106522487E-2</v>
      </c>
      <c r="N68" s="13">
        <v>1.048831126243375E-2</v>
      </c>
      <c r="O68" s="12">
        <f>N68-J68</f>
        <v>-8.0818589170339166E-3</v>
      </c>
      <c r="P68" s="14" t="e">
        <f>_xlfn.XLOOKUP(Table9[[#This Row],[کدشعبه ]],[1]!Table28[کد فروشگاه],[1]!Table28[Column1],"*",0)</f>
        <v>#REF!</v>
      </c>
      <c r="Q68" s="12">
        <f>N68-(M68*0.15)</f>
        <v>8.2446293964553771E-3</v>
      </c>
      <c r="R68" s="12">
        <f>Q68-J68</f>
        <v>-1.032554078301229E-2</v>
      </c>
      <c r="S68" s="15">
        <f>Table9[[#This Row],[تارگت22 مهر]]/Table9[[#This Row],[درصد راکد15مهر]]</f>
        <v>0.78607787184819489</v>
      </c>
      <c r="T68" s="12" t="str">
        <f>IF(J68-N68&gt;=1%,"عالی",IF(J68-N68&gt;=0.5%,"خوب",IF(J68-N68&gt;=0.2%,"متوسط","ضعیف")))</f>
        <v>خوب</v>
      </c>
    </row>
    <row r="69" spans="1:20" x14ac:dyDescent="0.3">
      <c r="A69" s="8" t="str">
        <f>VLOOKUP(Table9[[#This Row],[نام شعبه ]],[1]دیتا!E:G,3,0)</f>
        <v>محمد شاکری</v>
      </c>
      <c r="B69" s="9" t="s">
        <v>115</v>
      </c>
      <c r="C69" s="10" t="s">
        <v>116</v>
      </c>
      <c r="D69" s="11">
        <v>795502208</v>
      </c>
      <c r="E69" s="12">
        <v>1.4432329952860421E-2</v>
      </c>
      <c r="F69" s="12">
        <v>1.5407752305215636E-2</v>
      </c>
      <c r="G69" s="12">
        <f>_xlfn.XLOOKUP(Table9[[#This Row],[کدشعبه ]],'[1]60 روزه'!A:A,'[1]60 روزه'!E:E,1)</f>
        <v>2.1447606146059214E-2</v>
      </c>
      <c r="H69" s="12">
        <v>1.3694155928330294E-2</v>
      </c>
      <c r="I69" s="12">
        <v>1.6511997174027172E-2</v>
      </c>
      <c r="J69" s="12">
        <v>2.3447690526942386E-2</v>
      </c>
      <c r="K69" s="12">
        <v>2.2316955478631925E-2</v>
      </c>
      <c r="L69" s="12">
        <v>2.4575663908738648E-2</v>
      </c>
      <c r="M69" s="12">
        <v>2.1447606146059214E-2</v>
      </c>
      <c r="N69" s="13">
        <v>1.4556088814458711E-2</v>
      </c>
      <c r="O69" s="12">
        <f>N69-J69</f>
        <v>-8.8916017124836752E-3</v>
      </c>
      <c r="P69" s="14" t="e">
        <f>_xlfn.XLOOKUP(Table9[[#This Row],[کدشعبه ]],[1]!Table28[کد فروشگاه],[1]!Table28[Column1],"*",0)</f>
        <v>#REF!</v>
      </c>
      <c r="Q69" s="12">
        <f>N69-(M69*0.15)</f>
        <v>1.1338947892549828E-2</v>
      </c>
      <c r="R69" s="12">
        <f>Q69-J69</f>
        <v>-1.2108742634392558E-2</v>
      </c>
      <c r="S69" s="15">
        <f>Table9[[#This Row],[تارگت22 مهر]]/Table9[[#This Row],[درصد راکد15مهر]]</f>
        <v>0.77898314836377858</v>
      </c>
      <c r="T69" s="12" t="str">
        <f>IF(J69-N69&gt;=1%,"عالی",IF(J69-N69&gt;=0.5%,"خوب",IF(J69-N69&gt;=0.2%,"متوسط","ضعیف")))</f>
        <v>خوب</v>
      </c>
    </row>
    <row r="70" spans="1:20" x14ac:dyDescent="0.3">
      <c r="A70" s="8" t="str">
        <f>VLOOKUP(Table9[[#This Row],[نام شعبه ]],[1]دیتا!E:G,3,0)</f>
        <v xml:space="preserve">فیاض رحیم زاده </v>
      </c>
      <c r="B70" s="9" t="s">
        <v>45</v>
      </c>
      <c r="C70" s="10" t="s">
        <v>46</v>
      </c>
      <c r="D70" s="11">
        <v>1579406630</v>
      </c>
      <c r="E70" s="12">
        <v>1.9111878698987429E-2</v>
      </c>
      <c r="F70" s="12">
        <v>2.0303083977881539E-2</v>
      </c>
      <c r="G70" s="12">
        <f>_xlfn.XLOOKUP(Table9[[#This Row],[کدشعبه ]],'[1]60 روزه'!A:A,'[1]60 روزه'!E:E,1)</f>
        <v>3.3655936968909284E-2</v>
      </c>
      <c r="H70" s="12">
        <v>1.9620495324311586E-2</v>
      </c>
      <c r="I70" s="12">
        <v>2.2339939808200808E-2</v>
      </c>
      <c r="J70" s="12">
        <v>1.9658772756838985E-2</v>
      </c>
      <c r="K70" s="12">
        <v>3.3073746875749564E-2</v>
      </c>
      <c r="L70" s="12">
        <v>3.3627082670919461E-2</v>
      </c>
      <c r="M70" s="12">
        <v>3.3655936968909284E-2</v>
      </c>
      <c r="N70" s="13">
        <v>2.1464639338749755E-2</v>
      </c>
      <c r="O70" s="12">
        <f>N70-J70</f>
        <v>1.8058665819107693E-3</v>
      </c>
      <c r="P70" s="14" t="e">
        <f>_xlfn.XLOOKUP(Table9[[#This Row],[کدشعبه ]],[1]!Table28[کد فروشگاه],[1]!Table28[Column1],"*",0)</f>
        <v>#REF!</v>
      </c>
      <c r="Q70" s="12">
        <f>N70-(M70*0.15)</f>
        <v>1.6416248793413364E-2</v>
      </c>
      <c r="R70" s="12">
        <f>Q70-J70</f>
        <v>-3.2425239634256212E-3</v>
      </c>
      <c r="S70" s="15">
        <f>Table9[[#This Row],[تارگت22 مهر]]/Table9[[#This Row],[درصد راکد15مهر]]</f>
        <v>0.76480431533631155</v>
      </c>
      <c r="T70" s="12" t="str">
        <f>IF(J70-N70&gt;=1%,"عالی",IF(J70-N70&gt;=0.5%,"خوب",IF(J70-N70&gt;=0.2%,"متوسط","ضعیف")))</f>
        <v>ضعیف</v>
      </c>
    </row>
    <row r="71" spans="1:20" x14ac:dyDescent="0.3">
      <c r="A71" s="8" t="str">
        <f>VLOOKUP(Table9[[#This Row],[نام شعبه ]],[1]دیتا!E:G,3,0)</f>
        <v>محمد شاکری</v>
      </c>
      <c r="B71" s="9" t="s">
        <v>155</v>
      </c>
      <c r="C71" s="10" t="s">
        <v>156</v>
      </c>
      <c r="D71" s="11">
        <v>211221276</v>
      </c>
      <c r="E71" s="12">
        <v>5.4248491456095754E-3</v>
      </c>
      <c r="F71" s="12">
        <v>8.8153232825710394E-3</v>
      </c>
      <c r="G71" s="12">
        <f>_xlfn.XLOOKUP(Table9[[#This Row],[کدشعبه ]],'[1]60 روزه'!A:A,'[1]60 روزه'!E:E,1)</f>
        <v>6.7481308574364306E-3</v>
      </c>
      <c r="H71" s="12">
        <v>1.2195362783285627E-2</v>
      </c>
      <c r="I71" s="12">
        <v>9.6706357122879668E-3</v>
      </c>
      <c r="J71" s="12">
        <v>9.4245188197648183E-3</v>
      </c>
      <c r="K71" s="12">
        <v>5.5393051908272616E-3</v>
      </c>
      <c r="L71" s="12">
        <v>7.5346813357093844E-3</v>
      </c>
      <c r="M71" s="12">
        <v>6.7481308574364306E-3</v>
      </c>
      <c r="N71" s="13">
        <v>3.4943436009611246E-3</v>
      </c>
      <c r="O71" s="12">
        <f>N71-J71</f>
        <v>-5.9301752188036932E-3</v>
      </c>
      <c r="P71" s="14" t="e">
        <f>_xlfn.XLOOKUP(Table9[[#This Row],[کدشعبه ]],[1]!Table28[کد فروشگاه],[1]!Table28[Column1],"*",0)</f>
        <v>#REF!</v>
      </c>
      <c r="Q71" s="12">
        <f>N71-(M71*0.15)</f>
        <v>2.4821239723456599E-3</v>
      </c>
      <c r="R71" s="12">
        <f>Q71-J71</f>
        <v>-6.9423948474191585E-3</v>
      </c>
      <c r="S71" s="15">
        <f>Table9[[#This Row],[تارگت22 مهر]]/Table9[[#This Row],[درصد راکد15مهر]]</f>
        <v>0.71032624601168237</v>
      </c>
      <c r="T71" s="12" t="str">
        <f>IF(J71-N71&gt;=1%,"عالی",IF(J71-N71&gt;=0.5%,"خوب",IF(J71-N71&gt;=0.2%,"متوسط","ضعیف")))</f>
        <v>خوب</v>
      </c>
    </row>
    <row r="72" spans="1:20" x14ac:dyDescent="0.3">
      <c r="A72" s="8" t="str">
        <f>VLOOKUP(Table9[[#This Row],[نام شعبه ]],[1]دیتا!E:G,3,0)</f>
        <v>سامان بسطامی</v>
      </c>
      <c r="B72" s="9" t="s">
        <v>119</v>
      </c>
      <c r="C72" s="10" t="s">
        <v>120</v>
      </c>
      <c r="D72" s="11">
        <v>434636987</v>
      </c>
      <c r="E72" s="12">
        <v>7.9913618717905779E-3</v>
      </c>
      <c r="F72" s="12">
        <v>7.8415624806859943E-3</v>
      </c>
      <c r="G72" s="12">
        <f>_xlfn.XLOOKUP(Table9[[#This Row],[کدشعبه ]],'[1]60 روزه'!A:A,'[1]60 روزه'!E:E,1)</f>
        <v>1.494137483137326E-2</v>
      </c>
      <c r="H72" s="12">
        <v>6.6359475222890979E-3</v>
      </c>
      <c r="I72" s="12">
        <v>7.3080507169524973E-3</v>
      </c>
      <c r="J72" s="12">
        <v>6.1404199503702446E-3</v>
      </c>
      <c r="K72" s="12">
        <v>1.0986777564069511E-2</v>
      </c>
      <c r="L72" s="12">
        <v>1.3306985438846916E-2</v>
      </c>
      <c r="M72" s="12">
        <v>1.4941374831373264E-2</v>
      </c>
      <c r="N72" s="13">
        <v>7.6316244258804325E-3</v>
      </c>
      <c r="O72" s="12">
        <f>N72-J72</f>
        <v>1.491204475510188E-3</v>
      </c>
      <c r="P72" s="14" t="e">
        <f>_xlfn.XLOOKUP(Table9[[#This Row],[کدشعبه ]],[1]!Table28[کد فروشگاه],[1]!Table28[Column1],"*",0)</f>
        <v>#REF!</v>
      </c>
      <c r="Q72" s="12">
        <f>N72-(M72*0.15)</f>
        <v>5.3904182011744427E-3</v>
      </c>
      <c r="R72" s="12">
        <f>Q72-J72</f>
        <v>-7.5000174919580189E-4</v>
      </c>
      <c r="S72" s="15">
        <f>Table9[[#This Row],[تارگت22 مهر]]/Table9[[#This Row],[درصد راکد15مهر]]</f>
        <v>0.70632645166531105</v>
      </c>
      <c r="T72" s="18" t="str">
        <f>IF(J72-N72&gt;=1%,"عالی",IF(J72-N72&gt;=0.5%,"خوب",IF(J72-N72&gt;=0.2%,"متوسط","ضعیف")))</f>
        <v>ضعیف</v>
      </c>
    </row>
  </sheetData>
  <conditionalFormatting sqref="E1:N72">
    <cfRule type="cellIs" dxfId="1" priority="2" operator="between">
      <formula>0.02</formula>
      <formula>100</formula>
    </cfRule>
  </conditionalFormatting>
  <conditionalFormatting sqref="S1:S7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روند و تارگت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Bagheri, Shahin (OK)</dc:creator>
  <cp:lastModifiedBy>shahin</cp:lastModifiedBy>
  <dcterms:created xsi:type="dcterms:W3CDTF">2026-10-06T17:13:47Z</dcterms:created>
  <dcterms:modified xsi:type="dcterms:W3CDTF">2026-10-09T14:31:04Z</dcterms:modified>
</cp:coreProperties>
</file>