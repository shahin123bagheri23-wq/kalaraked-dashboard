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in\Desktop\kalaraked\"/>
    </mc:Choice>
  </mc:AlternateContent>
  <xr:revisionPtr revIDLastSave="0" documentId="13_ncr:1_{034FF0B7-A5CB-4578-B523-40E790E048D8}" xr6:coauthVersionLast="47" xr6:coauthVersionMax="47" xr10:uidLastSave="{00000000-0000-0000-0000-000000000000}"/>
  <bookViews>
    <workbookView xWindow="-108" yWindow="-108" windowWidth="23256" windowHeight="12456" xr2:uid="{4E2BCD16-5C7D-455A-BAFB-DF1B74ADACCA}"/>
  </bookViews>
  <sheets>
    <sheet name="روند و تارگت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3" i="1" l="1"/>
  <c r="J73" i="1"/>
  <c r="O73" i="1" s="1"/>
  <c r="I73" i="1"/>
  <c r="H73" i="1"/>
  <c r="F73" i="1"/>
  <c r="E73" i="1"/>
  <c r="Q72" i="1"/>
  <c r="P72" i="1"/>
  <c r="O72" i="1"/>
  <c r="N72" i="1"/>
  <c r="M72" i="1"/>
  <c r="G72" i="1"/>
  <c r="D72" i="1"/>
  <c r="A72" i="1"/>
  <c r="Q71" i="1"/>
  <c r="P71" i="1"/>
  <c r="O71" i="1"/>
  <c r="N71" i="1"/>
  <c r="M71" i="1"/>
  <c r="G71" i="1"/>
  <c r="D71" i="1"/>
  <c r="A71" i="1"/>
  <c r="Q70" i="1"/>
  <c r="P70" i="1"/>
  <c r="O70" i="1"/>
  <c r="N70" i="1"/>
  <c r="M70" i="1"/>
  <c r="G70" i="1"/>
  <c r="D70" i="1"/>
  <c r="A70" i="1"/>
  <c r="Q69" i="1"/>
  <c r="P69" i="1"/>
  <c r="O69" i="1"/>
  <c r="N69" i="1"/>
  <c r="M69" i="1"/>
  <c r="G69" i="1"/>
  <c r="D69" i="1"/>
  <c r="A69" i="1"/>
  <c r="Q68" i="1"/>
  <c r="P68" i="1"/>
  <c r="O68" i="1"/>
  <c r="N68" i="1"/>
  <c r="M68" i="1"/>
  <c r="G68" i="1"/>
  <c r="D68" i="1"/>
  <c r="A68" i="1"/>
  <c r="Q67" i="1"/>
  <c r="P67" i="1"/>
  <c r="O67" i="1"/>
  <c r="N67" i="1"/>
  <c r="M67" i="1"/>
  <c r="G67" i="1"/>
  <c r="D67" i="1"/>
  <c r="A67" i="1"/>
  <c r="Q66" i="1"/>
  <c r="P66" i="1"/>
  <c r="O66" i="1"/>
  <c r="N66" i="1"/>
  <c r="M66" i="1"/>
  <c r="G66" i="1"/>
  <c r="D66" i="1"/>
  <c r="A66" i="1"/>
  <c r="Q65" i="1"/>
  <c r="P65" i="1"/>
  <c r="O65" i="1"/>
  <c r="N65" i="1"/>
  <c r="M65" i="1"/>
  <c r="G65" i="1"/>
  <c r="D65" i="1"/>
  <c r="A65" i="1"/>
  <c r="Q64" i="1"/>
  <c r="P64" i="1"/>
  <c r="O64" i="1"/>
  <c r="N64" i="1"/>
  <c r="M64" i="1"/>
  <c r="G64" i="1"/>
  <c r="D64" i="1"/>
  <c r="A64" i="1"/>
  <c r="Q63" i="1"/>
  <c r="P63" i="1"/>
  <c r="O63" i="1"/>
  <c r="N63" i="1"/>
  <c r="M63" i="1"/>
  <c r="G63" i="1"/>
  <c r="D63" i="1"/>
  <c r="A63" i="1"/>
  <c r="Q62" i="1"/>
  <c r="P62" i="1"/>
  <c r="O62" i="1"/>
  <c r="N62" i="1"/>
  <c r="M62" i="1"/>
  <c r="G62" i="1"/>
  <c r="D62" i="1"/>
  <c r="A62" i="1"/>
  <c r="Q61" i="1"/>
  <c r="P61" i="1"/>
  <c r="O61" i="1"/>
  <c r="N61" i="1"/>
  <c r="M61" i="1"/>
  <c r="G61" i="1"/>
  <c r="D61" i="1"/>
  <c r="A61" i="1"/>
  <c r="Q60" i="1"/>
  <c r="P60" i="1"/>
  <c r="O60" i="1"/>
  <c r="N60" i="1"/>
  <c r="M60" i="1"/>
  <c r="G60" i="1"/>
  <c r="D60" i="1"/>
  <c r="A60" i="1"/>
  <c r="Q59" i="1"/>
  <c r="P59" i="1"/>
  <c r="O59" i="1"/>
  <c r="N59" i="1"/>
  <c r="M59" i="1"/>
  <c r="G59" i="1"/>
  <c r="D59" i="1"/>
  <c r="A59" i="1"/>
  <c r="Q58" i="1"/>
  <c r="P58" i="1"/>
  <c r="O58" i="1"/>
  <c r="N58" i="1"/>
  <c r="M58" i="1"/>
  <c r="G58" i="1"/>
  <c r="D58" i="1"/>
  <c r="A58" i="1"/>
  <c r="Q57" i="1"/>
  <c r="P57" i="1"/>
  <c r="O57" i="1"/>
  <c r="N57" i="1"/>
  <c r="M57" i="1"/>
  <c r="G57" i="1"/>
  <c r="D57" i="1"/>
  <c r="A57" i="1"/>
  <c r="Q56" i="1"/>
  <c r="P56" i="1"/>
  <c r="O56" i="1"/>
  <c r="N56" i="1"/>
  <c r="M56" i="1"/>
  <c r="G56" i="1"/>
  <c r="D56" i="1"/>
  <c r="A56" i="1"/>
  <c r="Q55" i="1"/>
  <c r="P55" i="1"/>
  <c r="O55" i="1"/>
  <c r="N55" i="1"/>
  <c r="M55" i="1"/>
  <c r="G55" i="1"/>
  <c r="D55" i="1"/>
  <c r="A55" i="1"/>
  <c r="Q54" i="1"/>
  <c r="P54" i="1"/>
  <c r="O54" i="1"/>
  <c r="N54" i="1"/>
  <c r="M54" i="1"/>
  <c r="G54" i="1"/>
  <c r="D54" i="1"/>
  <c r="A54" i="1"/>
  <c r="Q53" i="1"/>
  <c r="P53" i="1"/>
  <c r="O53" i="1"/>
  <c r="N53" i="1"/>
  <c r="M53" i="1"/>
  <c r="G53" i="1"/>
  <c r="D53" i="1"/>
  <c r="A53" i="1"/>
  <c r="Q52" i="1"/>
  <c r="P52" i="1"/>
  <c r="O52" i="1"/>
  <c r="N52" i="1"/>
  <c r="M52" i="1"/>
  <c r="G52" i="1"/>
  <c r="D52" i="1"/>
  <c r="A52" i="1"/>
  <c r="Q51" i="1"/>
  <c r="P51" i="1"/>
  <c r="O51" i="1"/>
  <c r="N51" i="1"/>
  <c r="M51" i="1"/>
  <c r="G51" i="1"/>
  <c r="D51" i="1"/>
  <c r="A51" i="1"/>
  <c r="Q50" i="1"/>
  <c r="P50" i="1"/>
  <c r="O50" i="1"/>
  <c r="N50" i="1"/>
  <c r="M50" i="1"/>
  <c r="G50" i="1"/>
  <c r="D50" i="1"/>
  <c r="A50" i="1"/>
  <c r="Q49" i="1"/>
  <c r="P49" i="1"/>
  <c r="O49" i="1"/>
  <c r="N49" i="1"/>
  <c r="M49" i="1"/>
  <c r="G49" i="1"/>
  <c r="D49" i="1"/>
  <c r="A49" i="1"/>
  <c r="Q48" i="1"/>
  <c r="P48" i="1"/>
  <c r="O48" i="1"/>
  <c r="N48" i="1"/>
  <c r="M48" i="1"/>
  <c r="G48" i="1"/>
  <c r="D48" i="1"/>
  <c r="A48" i="1"/>
  <c r="Q47" i="1"/>
  <c r="P47" i="1"/>
  <c r="O47" i="1"/>
  <c r="N47" i="1"/>
  <c r="M47" i="1"/>
  <c r="G47" i="1"/>
  <c r="D47" i="1"/>
  <c r="A47" i="1"/>
  <c r="Q46" i="1"/>
  <c r="P46" i="1"/>
  <c r="O46" i="1"/>
  <c r="N46" i="1"/>
  <c r="M46" i="1"/>
  <c r="G46" i="1"/>
  <c r="D46" i="1"/>
  <c r="A46" i="1"/>
  <c r="Q45" i="1"/>
  <c r="P45" i="1"/>
  <c r="O45" i="1"/>
  <c r="N45" i="1"/>
  <c r="M45" i="1"/>
  <c r="G45" i="1"/>
  <c r="D45" i="1"/>
  <c r="A45" i="1"/>
  <c r="Q44" i="1"/>
  <c r="P44" i="1"/>
  <c r="O44" i="1"/>
  <c r="N44" i="1"/>
  <c r="M44" i="1"/>
  <c r="G44" i="1"/>
  <c r="D44" i="1"/>
  <c r="A44" i="1"/>
  <c r="Q43" i="1"/>
  <c r="P43" i="1"/>
  <c r="O43" i="1"/>
  <c r="N43" i="1"/>
  <c r="M43" i="1"/>
  <c r="G43" i="1"/>
  <c r="D43" i="1"/>
  <c r="A43" i="1"/>
  <c r="Q42" i="1"/>
  <c r="P42" i="1"/>
  <c r="O42" i="1"/>
  <c r="N42" i="1"/>
  <c r="M42" i="1"/>
  <c r="G42" i="1"/>
  <c r="D42" i="1"/>
  <c r="A42" i="1"/>
  <c r="Q41" i="1"/>
  <c r="P41" i="1"/>
  <c r="O41" i="1"/>
  <c r="N41" i="1"/>
  <c r="M41" i="1"/>
  <c r="G41" i="1"/>
  <c r="D41" i="1"/>
  <c r="A41" i="1"/>
  <c r="Q40" i="1"/>
  <c r="P40" i="1"/>
  <c r="O40" i="1"/>
  <c r="N40" i="1"/>
  <c r="M40" i="1"/>
  <c r="G40" i="1"/>
  <c r="D40" i="1"/>
  <c r="A40" i="1"/>
  <c r="Q39" i="1"/>
  <c r="P39" i="1"/>
  <c r="O39" i="1"/>
  <c r="N39" i="1"/>
  <c r="M39" i="1"/>
  <c r="G39" i="1"/>
  <c r="D39" i="1"/>
  <c r="A39" i="1"/>
  <c r="Q38" i="1"/>
  <c r="P38" i="1"/>
  <c r="O38" i="1"/>
  <c r="N38" i="1"/>
  <c r="M38" i="1"/>
  <c r="G38" i="1"/>
  <c r="D38" i="1"/>
  <c r="A38" i="1"/>
  <c r="Q37" i="1"/>
  <c r="P37" i="1"/>
  <c r="O37" i="1"/>
  <c r="N37" i="1"/>
  <c r="M37" i="1"/>
  <c r="G37" i="1"/>
  <c r="D37" i="1"/>
  <c r="A37" i="1"/>
  <c r="Q36" i="1"/>
  <c r="P36" i="1"/>
  <c r="O36" i="1"/>
  <c r="N36" i="1"/>
  <c r="M36" i="1"/>
  <c r="G36" i="1"/>
  <c r="D36" i="1"/>
  <c r="A36" i="1"/>
  <c r="Q35" i="1"/>
  <c r="P35" i="1"/>
  <c r="O35" i="1"/>
  <c r="N35" i="1"/>
  <c r="M35" i="1"/>
  <c r="G35" i="1"/>
  <c r="D35" i="1"/>
  <c r="A35" i="1"/>
  <c r="Q34" i="1"/>
  <c r="P34" i="1"/>
  <c r="O34" i="1"/>
  <c r="N34" i="1"/>
  <c r="M34" i="1"/>
  <c r="G34" i="1"/>
  <c r="D34" i="1"/>
  <c r="A34" i="1"/>
  <c r="Q33" i="1"/>
  <c r="P33" i="1"/>
  <c r="O33" i="1"/>
  <c r="N33" i="1"/>
  <c r="M33" i="1"/>
  <c r="G33" i="1"/>
  <c r="D33" i="1"/>
  <c r="A33" i="1"/>
  <c r="Q32" i="1"/>
  <c r="P32" i="1"/>
  <c r="O32" i="1"/>
  <c r="N32" i="1"/>
  <c r="M32" i="1"/>
  <c r="G32" i="1"/>
  <c r="D32" i="1"/>
  <c r="A32" i="1"/>
  <c r="Q31" i="1"/>
  <c r="P31" i="1"/>
  <c r="O31" i="1"/>
  <c r="N31" i="1"/>
  <c r="M31" i="1"/>
  <c r="G31" i="1"/>
  <c r="D31" i="1"/>
  <c r="A31" i="1"/>
  <c r="Q30" i="1"/>
  <c r="P30" i="1"/>
  <c r="O30" i="1"/>
  <c r="N30" i="1"/>
  <c r="M30" i="1"/>
  <c r="G30" i="1"/>
  <c r="D30" i="1"/>
  <c r="A30" i="1"/>
  <c r="Q29" i="1"/>
  <c r="P29" i="1"/>
  <c r="O29" i="1"/>
  <c r="N29" i="1"/>
  <c r="M29" i="1"/>
  <c r="G29" i="1"/>
  <c r="D29" i="1"/>
  <c r="A29" i="1"/>
  <c r="Q28" i="1"/>
  <c r="O28" i="1"/>
  <c r="P28" i="1" s="1"/>
  <c r="N28" i="1"/>
  <c r="M28" i="1"/>
  <c r="G28" i="1"/>
  <c r="D28" i="1"/>
  <c r="A28" i="1"/>
  <c r="Q27" i="1"/>
  <c r="O27" i="1"/>
  <c r="P27" i="1" s="1"/>
  <c r="N27" i="1"/>
  <c r="M27" i="1"/>
  <c r="G27" i="1"/>
  <c r="D27" i="1"/>
  <c r="A27" i="1"/>
  <c r="Q26" i="1"/>
  <c r="O26" i="1"/>
  <c r="P26" i="1" s="1"/>
  <c r="N26" i="1"/>
  <c r="M26" i="1"/>
  <c r="G26" i="1"/>
  <c r="D26" i="1"/>
  <c r="A26" i="1"/>
  <c r="Q25" i="1"/>
  <c r="O25" i="1"/>
  <c r="P25" i="1" s="1"/>
  <c r="N25" i="1"/>
  <c r="M25" i="1"/>
  <c r="G25" i="1"/>
  <c r="D25" i="1"/>
  <c r="A25" i="1"/>
  <c r="Q24" i="1"/>
  <c r="O24" i="1"/>
  <c r="P24" i="1" s="1"/>
  <c r="N24" i="1"/>
  <c r="M24" i="1"/>
  <c r="G24" i="1"/>
  <c r="D24" i="1"/>
  <c r="A24" i="1"/>
  <c r="Q23" i="1"/>
  <c r="O23" i="1"/>
  <c r="P23" i="1" s="1"/>
  <c r="N23" i="1"/>
  <c r="M23" i="1"/>
  <c r="G23" i="1"/>
  <c r="D23" i="1"/>
  <c r="A23" i="1"/>
  <c r="Q22" i="1"/>
  <c r="O22" i="1"/>
  <c r="P22" i="1" s="1"/>
  <c r="N22" i="1"/>
  <c r="M22" i="1"/>
  <c r="G22" i="1"/>
  <c r="D22" i="1"/>
  <c r="A22" i="1"/>
  <c r="Q21" i="1"/>
  <c r="O21" i="1"/>
  <c r="P21" i="1" s="1"/>
  <c r="N21" i="1"/>
  <c r="M21" i="1"/>
  <c r="G21" i="1"/>
  <c r="D21" i="1"/>
  <c r="A21" i="1"/>
  <c r="Q20" i="1"/>
  <c r="O20" i="1"/>
  <c r="P20" i="1" s="1"/>
  <c r="N20" i="1"/>
  <c r="M20" i="1"/>
  <c r="G20" i="1"/>
  <c r="D20" i="1"/>
  <c r="A20" i="1"/>
  <c r="Q19" i="1"/>
  <c r="O19" i="1"/>
  <c r="P19" i="1" s="1"/>
  <c r="N19" i="1"/>
  <c r="M19" i="1"/>
  <c r="G19" i="1"/>
  <c r="D19" i="1"/>
  <c r="A19" i="1"/>
  <c r="Q18" i="1"/>
  <c r="O18" i="1"/>
  <c r="P18" i="1" s="1"/>
  <c r="N18" i="1"/>
  <c r="M18" i="1"/>
  <c r="G18" i="1"/>
  <c r="D18" i="1"/>
  <c r="A18" i="1"/>
  <c r="Q17" i="1"/>
  <c r="O17" i="1"/>
  <c r="P17" i="1" s="1"/>
  <c r="N17" i="1"/>
  <c r="M17" i="1"/>
  <c r="G17" i="1"/>
  <c r="D17" i="1"/>
  <c r="A17" i="1"/>
  <c r="Q16" i="1"/>
  <c r="O16" i="1"/>
  <c r="P16" i="1" s="1"/>
  <c r="N16" i="1"/>
  <c r="M16" i="1"/>
  <c r="G16" i="1"/>
  <c r="D16" i="1"/>
  <c r="A16" i="1"/>
  <c r="Q15" i="1"/>
  <c r="O15" i="1"/>
  <c r="P15" i="1" s="1"/>
  <c r="N15" i="1"/>
  <c r="M15" i="1"/>
  <c r="G15" i="1"/>
  <c r="D15" i="1"/>
  <c r="A15" i="1"/>
  <c r="Q14" i="1"/>
  <c r="O14" i="1"/>
  <c r="P14" i="1" s="1"/>
  <c r="N14" i="1"/>
  <c r="M14" i="1"/>
  <c r="G14" i="1"/>
  <c r="D14" i="1"/>
  <c r="A14" i="1"/>
  <c r="Q13" i="1"/>
  <c r="O13" i="1"/>
  <c r="P13" i="1" s="1"/>
  <c r="N13" i="1"/>
  <c r="M13" i="1"/>
  <c r="G13" i="1"/>
  <c r="D13" i="1"/>
  <c r="A13" i="1"/>
  <c r="Q12" i="1"/>
  <c r="O12" i="1"/>
  <c r="P12" i="1" s="1"/>
  <c r="N12" i="1"/>
  <c r="M12" i="1"/>
  <c r="G12" i="1"/>
  <c r="D12" i="1"/>
  <c r="A12" i="1"/>
  <c r="Q11" i="1"/>
  <c r="O11" i="1"/>
  <c r="P11" i="1" s="1"/>
  <c r="N11" i="1"/>
  <c r="M11" i="1"/>
  <c r="G11" i="1"/>
  <c r="D11" i="1"/>
  <c r="A11" i="1"/>
  <c r="Q10" i="1"/>
  <c r="O10" i="1"/>
  <c r="P10" i="1" s="1"/>
  <c r="N10" i="1"/>
  <c r="M10" i="1"/>
  <c r="G10" i="1"/>
  <c r="D10" i="1"/>
  <c r="A10" i="1"/>
  <c r="Q9" i="1"/>
  <c r="O9" i="1"/>
  <c r="P9" i="1" s="1"/>
  <c r="N9" i="1"/>
  <c r="M9" i="1"/>
  <c r="G9" i="1"/>
  <c r="D9" i="1"/>
  <c r="A9" i="1"/>
  <c r="Q8" i="1"/>
  <c r="O8" i="1"/>
  <c r="P8" i="1" s="1"/>
  <c r="N8" i="1"/>
  <c r="M8" i="1"/>
  <c r="G8" i="1"/>
  <c r="D8" i="1"/>
  <c r="A8" i="1"/>
  <c r="Q7" i="1"/>
  <c r="O7" i="1"/>
  <c r="P7" i="1" s="1"/>
  <c r="N7" i="1"/>
  <c r="M7" i="1"/>
  <c r="G7" i="1"/>
  <c r="D7" i="1"/>
  <c r="A7" i="1"/>
  <c r="Q6" i="1"/>
  <c r="O6" i="1"/>
  <c r="P6" i="1" s="1"/>
  <c r="N6" i="1"/>
  <c r="M6" i="1"/>
  <c r="G6" i="1"/>
  <c r="D6" i="1"/>
  <c r="A6" i="1"/>
  <c r="Q5" i="1"/>
  <c r="O5" i="1"/>
  <c r="P5" i="1" s="1"/>
  <c r="N5" i="1"/>
  <c r="M5" i="1"/>
  <c r="G5" i="1"/>
  <c r="D5" i="1"/>
  <c r="A5" i="1"/>
  <c r="Q4" i="1"/>
  <c r="O4" i="1"/>
  <c r="P4" i="1" s="1"/>
  <c r="N4" i="1"/>
  <c r="M4" i="1"/>
  <c r="G4" i="1"/>
  <c r="D4" i="1"/>
  <c r="A4" i="1"/>
  <c r="Q3" i="1"/>
  <c r="O3" i="1"/>
  <c r="P3" i="1" s="1"/>
  <c r="N3" i="1"/>
  <c r="M3" i="1"/>
  <c r="G3" i="1"/>
  <c r="D3" i="1"/>
  <c r="A3" i="1"/>
  <c r="Q2" i="1"/>
  <c r="O2" i="1"/>
  <c r="P2" i="1" s="1"/>
  <c r="N2" i="1"/>
  <c r="M2" i="1"/>
  <c r="G2" i="1"/>
  <c r="G73" i="1" s="1"/>
  <c r="M73" i="1" s="1"/>
  <c r="D2" i="1"/>
  <c r="A2" i="1"/>
  <c r="Q73" i="1" l="1"/>
  <c r="P73" i="1"/>
</calcChain>
</file>

<file path=xl/sharedStrings.xml><?xml version="1.0" encoding="utf-8"?>
<sst xmlns="http://schemas.openxmlformats.org/spreadsheetml/2006/main" count="162" uniqueCount="162">
  <si>
    <t>ژ</t>
  </si>
  <si>
    <t xml:space="preserve">کدشعبه </t>
  </si>
  <si>
    <t xml:space="preserve">نام شعبه </t>
  </si>
  <si>
    <t xml:space="preserve">ریالی راکد </t>
  </si>
  <si>
    <t>درصد راکد16 شهریور</t>
  </si>
  <si>
    <t>درصد راکد18 شهریور2</t>
  </si>
  <si>
    <t>درصد  راکد 20 شهریور</t>
  </si>
  <si>
    <t>درصد راکد 24 شهریور</t>
  </si>
  <si>
    <t>درصد راکد 26شهریور</t>
  </si>
  <si>
    <t>درصد راکد1 مهر</t>
  </si>
  <si>
    <t>درصد راکد9 مهر</t>
  </si>
  <si>
    <t>درصد راکد11مهر</t>
  </si>
  <si>
    <t xml:space="preserve">تغییرات </t>
  </si>
  <si>
    <t>سرپرست فروشگاه</t>
  </si>
  <si>
    <t>تارگت15 مهر</t>
  </si>
  <si>
    <t xml:space="preserve">تغییرات تارگتی مورد انتظار </t>
  </si>
  <si>
    <t xml:space="preserve">درصد تحقق </t>
  </si>
  <si>
    <t>OKS02295</t>
  </si>
  <si>
    <t>فروشگاه خرم آباد قاضی آباد دو</t>
  </si>
  <si>
    <t>OKS07701</t>
  </si>
  <si>
    <t>فرانچایز کوهدشت بلوار خلیج فارس</t>
  </si>
  <si>
    <t>OKS10648</t>
  </si>
  <si>
    <t>فرانچایز خرم آباد چهارراه بانک</t>
  </si>
  <si>
    <t>OKS10887</t>
  </si>
  <si>
    <t>فرانچایز خرم آباد باباطاهر</t>
  </si>
  <si>
    <t>OKS08972</t>
  </si>
  <si>
    <t>فرانچایز خرم آباد چهارراه پژوهنده</t>
  </si>
  <si>
    <t>OKS04019</t>
  </si>
  <si>
    <t>فرانچایز خرم آباد فاز دو ناصر خسرو</t>
  </si>
  <si>
    <t>OKS10345</t>
  </si>
  <si>
    <t>فرانچایز دوره چگنی خیابان رهبری</t>
  </si>
  <si>
    <t>OKS10333</t>
  </si>
  <si>
    <t>فرانچایز خرم آباد خیابان دهخدا</t>
  </si>
  <si>
    <t>OKS06697</t>
  </si>
  <si>
    <t>فرانچایز خرم آباد اسدآبادی دو</t>
  </si>
  <si>
    <t>OKS06722</t>
  </si>
  <si>
    <t>فرانچایز خرم آباد ماسور دو</t>
  </si>
  <si>
    <t>OKS08496</t>
  </si>
  <si>
    <t>فروشگاه خرم آباد خیابان علوی</t>
  </si>
  <si>
    <t>OKS02476</t>
  </si>
  <si>
    <t>فرانچایز پلدختر هفت تیر دو</t>
  </si>
  <si>
    <t>OKS08953</t>
  </si>
  <si>
    <t>فرانچایز خرم آباد مهستان</t>
  </si>
  <si>
    <t>OKS10126</t>
  </si>
  <si>
    <t>فرانچایز کوهدشت شهرک امام</t>
  </si>
  <si>
    <t>OKS10962</t>
  </si>
  <si>
    <t>فرانچایز خرم آباد چهارراه ماسور</t>
  </si>
  <si>
    <t>OKS06956</t>
  </si>
  <si>
    <t>فرانچایز پلدختر امام خمینی (ره)</t>
  </si>
  <si>
    <t>OKS10029</t>
  </si>
  <si>
    <t>فرانچایز خرم آباد خیابان فلسطین</t>
  </si>
  <si>
    <t>OKS10682</t>
  </si>
  <si>
    <t>فرانچایز الشتر چهارراه کفش ملی</t>
  </si>
  <si>
    <t>OKS07979</t>
  </si>
  <si>
    <t>فروشگاه خرم آباد دره گرم</t>
  </si>
  <si>
    <t>OKS00019</t>
  </si>
  <si>
    <t>فروشگاه دلفان بهشتی</t>
  </si>
  <si>
    <t>OKS09989</t>
  </si>
  <si>
    <t>فرانچایز الشتر کوی آزادگان</t>
  </si>
  <si>
    <t>OKS11055</t>
  </si>
  <si>
    <t>فرانچایز خرم آباد بلوار بهارستان دو</t>
  </si>
  <si>
    <t>OKS09506</t>
  </si>
  <si>
    <t>فرانچایز معمولان خیابان امام دو</t>
  </si>
  <si>
    <t>OKS11426</t>
  </si>
  <si>
    <t>فرانچایز خرم آباد خیابان شاپوری</t>
  </si>
  <si>
    <t>OKS10680</t>
  </si>
  <si>
    <t>فرانچایز الشتر بلوار شهید کلانتری</t>
  </si>
  <si>
    <t>OKS07381</t>
  </si>
  <si>
    <t>فرانچایز خرم آباد قاضی آباد</t>
  </si>
  <si>
    <t>OKS09812</t>
  </si>
  <si>
    <t>فرانچایز خرم آباد ازنا ایمان آباد</t>
  </si>
  <si>
    <t>OKS02596</t>
  </si>
  <si>
    <t>فرانچایز خرم آباد میدان بیست و دو بهمن</t>
  </si>
  <si>
    <t>OKS07771</t>
  </si>
  <si>
    <t>فرانچایز دلفان برخوردار</t>
  </si>
  <si>
    <t>OKS01576</t>
  </si>
  <si>
    <t>فرانچایز خرم آباد کوی ارتش</t>
  </si>
  <si>
    <t>OKS08239</t>
  </si>
  <si>
    <t>فروشگاه کوهدشت بوعلی</t>
  </si>
  <si>
    <t>OKS07234</t>
  </si>
  <si>
    <t>فرانچایز خرم آباد تلوری دو</t>
  </si>
  <si>
    <t>OKS08818</t>
  </si>
  <si>
    <t>فرانچایز خرم آباد خیابان بزرگمهر</t>
  </si>
  <si>
    <t>OKS09124</t>
  </si>
  <si>
    <t>فرانچایز خرم آباد شهرک حکمت دو</t>
  </si>
  <si>
    <t>OKS08488</t>
  </si>
  <si>
    <t>فروشگاه دلفان خیابان رجایی</t>
  </si>
  <si>
    <t>OKS10077</t>
  </si>
  <si>
    <t>فرانچایز خرم آباد میدان امام دو</t>
  </si>
  <si>
    <t>OKS10650</t>
  </si>
  <si>
    <t>فرانچایز خرم آباد 20متری</t>
  </si>
  <si>
    <t>OKS05372</t>
  </si>
  <si>
    <t>فروشگاه کوهدشت شهبازی</t>
  </si>
  <si>
    <t>OKS00766</t>
  </si>
  <si>
    <t>فروشگاه خرم آباد فردوسی</t>
  </si>
  <si>
    <t>OKS09634</t>
  </si>
  <si>
    <t>فرانچایز خرم آباد 60متری پردیسان</t>
  </si>
  <si>
    <t>OKS09578</t>
  </si>
  <si>
    <t>فرانچایز خرم آباد بازار میدان گپ</t>
  </si>
  <si>
    <t>OKS06765</t>
  </si>
  <si>
    <t>فرانچایز کوهدشت دارایی</t>
  </si>
  <si>
    <t>OKS08755</t>
  </si>
  <si>
    <t>فرانچایز خرم آباد سه راه ناصرخسرو</t>
  </si>
  <si>
    <t>OKS10216</t>
  </si>
  <si>
    <t>فروشگاه کوهدشت باهنر</t>
  </si>
  <si>
    <t>OKS09238</t>
  </si>
  <si>
    <t>فرانچایز خرم آباد شهرک آذربایجان</t>
  </si>
  <si>
    <t>OKS05974</t>
  </si>
  <si>
    <t>فروشگاه دلفان خیابان مدرس</t>
  </si>
  <si>
    <t>OKS07927</t>
  </si>
  <si>
    <t>فروشگاه خرم آباد بابک</t>
  </si>
  <si>
    <t>OKS07487</t>
  </si>
  <si>
    <t>فرانچایز کوهدشت خیابان حسابی</t>
  </si>
  <si>
    <t>OKS01879</t>
  </si>
  <si>
    <t>فرانچایز الشتر آیت الله بروجردی</t>
  </si>
  <si>
    <t>OKS10474</t>
  </si>
  <si>
    <t>فرانچایز خرم آباد دره گرم گلستان</t>
  </si>
  <si>
    <t>OKS09620</t>
  </si>
  <si>
    <t>فرانچایز خرم آباد چهار راه ارم</t>
  </si>
  <si>
    <t>OKS06816</t>
  </si>
  <si>
    <t>فرانچایز خرم آباد چهارباغ دو</t>
  </si>
  <si>
    <t>OKS08113</t>
  </si>
  <si>
    <t>فرانچایز خرم آباد ژاندارمری</t>
  </si>
  <si>
    <t>OKS08192</t>
  </si>
  <si>
    <t>فرانچایز کوهدشت ساحلی</t>
  </si>
  <si>
    <t>OKS00634</t>
  </si>
  <si>
    <t>فروشگاه کوهدشت مالک اشتر</t>
  </si>
  <si>
    <t>OKS01297</t>
  </si>
  <si>
    <t>فرانچایز رومشکان</t>
  </si>
  <si>
    <t>OKS07054</t>
  </si>
  <si>
    <t>فروشگاه الشتر شهرداری</t>
  </si>
  <si>
    <t>OKS08930</t>
  </si>
  <si>
    <t>فرانچایز دلفان میدان بسیج</t>
  </si>
  <si>
    <t>OKS09154</t>
  </si>
  <si>
    <t>فرانچایز خرم آباد دره گرم بوستان</t>
  </si>
  <si>
    <t>OKS09644</t>
  </si>
  <si>
    <t>فرانچایز خرم آباد خاتم الانبیا دو</t>
  </si>
  <si>
    <t>OKS07958</t>
  </si>
  <si>
    <t>فرانچایز کوهدشت کوهنانی</t>
  </si>
  <si>
    <t>OKS11125</t>
  </si>
  <si>
    <t>فرانچایز خرم آباد میدان کیو دو</t>
  </si>
  <si>
    <t>OKS09122</t>
  </si>
  <si>
    <t>فرانچایز کوهدشت میدان 22بهمن</t>
  </si>
  <si>
    <t>OKS07363</t>
  </si>
  <si>
    <t>فرانچایز خرم آباد خیابان ساحلی</t>
  </si>
  <si>
    <t>oks10336</t>
  </si>
  <si>
    <t>فرانچایز پلدختر چهارراه جهاد</t>
  </si>
  <si>
    <t>OKS10385</t>
  </si>
  <si>
    <t>فرانچایز خرم آباد گلدشت تامین اجتماعی دو</t>
  </si>
  <si>
    <t>OKS10444</t>
  </si>
  <si>
    <t>فرانچایز ویسیان بلوار ولیعصر</t>
  </si>
  <si>
    <t>OKS10640</t>
  </si>
  <si>
    <t>فرانچایز پلدختر کوی بسیجیان</t>
  </si>
  <si>
    <t>OKS04382</t>
  </si>
  <si>
    <t>فروشگاه خرم آباد بلوار شصت متری</t>
  </si>
  <si>
    <t>OKS00683</t>
  </si>
  <si>
    <t>فروشگاه خرم آباد ولیعصر</t>
  </si>
  <si>
    <t>OKS05752</t>
  </si>
  <si>
    <t>فرانچایز خرم آباد گلدشت غربی دو</t>
  </si>
  <si>
    <t>هدف سوپروایزر</t>
  </si>
  <si>
    <t xml:space="preserve"> -   </t>
  </si>
  <si>
    <t>2.31%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</si>
</sst>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(* #,##0_);_(* \(#,##0\);_(* &quot;-&quot;??_);_(@_)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 tint="4.9989318521683403E-2"/>
      <name val="Calibri"/>
      <family val="2"/>
    </font>
    <font>
      <b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 wrapText="1" readingOrder="2"/>
    </xf>
    <xf numFmtId="0" fontId="5" fillId="2" borderId="2" xfId="2" applyFont="1" applyFill="1" applyBorder="1" applyAlignment="1">
      <alignment horizontal="center" vertical="center" wrapText="1" readingOrder="2"/>
    </xf>
    <xf numFmtId="0" fontId="5" fillId="0" borderId="2" xfId="2" applyFont="1" applyBorder="1" applyAlignment="1">
      <alignment horizontal="center" vertical="center" wrapText="1"/>
    </xf>
    <xf numFmtId="164" fontId="6" fillId="2" borderId="3" xfId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0" fontId="2" fillId="0" borderId="5" xfId="2" applyNumberFormat="1" applyFont="1" applyBorder="1" applyAlignment="1">
      <alignment horizontal="center" vertical="center"/>
    </xf>
    <xf numFmtId="10" fontId="2" fillId="2" borderId="5" xfId="2" applyNumberFormat="1" applyFont="1" applyFill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10" fontId="2" fillId="2" borderId="8" xfId="0" applyNumberFormat="1" applyFont="1" applyFill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</cellXfs>
  <cellStyles count="3">
    <cellStyle name="Normal" xfId="0" builtinId="0"/>
    <cellStyle name="Normal 2" xfId="2" xr:uid="{AF461E85-4E73-450A-90C7-4435B8B1115C}"/>
    <cellStyle name="Percent" xfId="1" builtinId="5"/>
  </cellStyles>
  <dxfs count="41">
    <dxf>
      <font>
        <color rgb="FFC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</font>
      <numFmt numFmtId="164" formatCode="0.0%"/>
      <fill>
        <patternFill patternType="none">
          <bgColor auto="1"/>
        </patternFill>
      </fill>
      <alignment horizontal="center" vertical="center" textRotation="0" indent="0" justifyLastLine="0" shrinkToFit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(* #,##0_);_(* \(#,##0\);_(* &quot;-&quot;??_);_(@_)"/>
      <fill>
        <patternFill patternType="none">
          <fgColor theme="4" tint="0.59999389629810485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4" tint="0.59999389629810485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ont>
        <b/>
      </font>
      <fill>
        <patternFill patternType="none">
          <bgColor auto="1"/>
        </patternFill>
      </fill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bgColor auto="1"/>
        </patternFill>
      </fill>
      <alignment horizontal="center" vertical="center" textRotation="0" indent="0" justifyLastLine="0" shrinkToFit="0"/>
    </dxf>
    <dxf>
      <border>
        <bottom style="thin">
          <color indexed="64"/>
        </bottom>
      </border>
    </dxf>
    <dxf>
      <font>
        <b/>
      </font>
      <fill>
        <patternFill patternType="none">
          <bgColor auto="1"/>
        </patternFill>
      </fill>
      <alignment horizontal="center" vertic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1576;&#1585;&#1606;&#1575;&#1605;&#1607;%20&#1585;&#1740;&#1586;&#1740;%201405\&#1576;&#1575;&#1602;&#1585;&#1740;%201405\&#1662;&#1585;&#1608;&#1688;&#1607;\&#1662;&#1585;&#1608;&#1688;&#1607;%20&#1585;&#1575;&#1705;&#1583;\&#1605;&#1607;&#1585;\1405-07-12\14050712.xlsx" TargetMode="External"/><Relationship Id="rId1" Type="http://schemas.openxmlformats.org/officeDocument/2006/relationships/externalLinkPath" Target="file:///F:\&#1576;&#1585;&#1606;&#1575;&#1605;&#1607;%20&#1585;&#1740;&#1586;&#1740;%201405\&#1576;&#1575;&#1602;&#1585;&#1740;%201405\&#1662;&#1585;&#1608;&#1688;&#1607;\&#1662;&#1585;&#1608;&#1688;&#1607;%20&#1585;&#1575;&#1705;&#1583;\&#1605;&#1607;&#1585;\1405-07-12\140507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0 روزه"/>
      <sheetName val="pq45"/>
      <sheetName val="pq60"/>
      <sheetName val="tbl60 "/>
      <sheetName val="tbl45"/>
      <sheetName val="tblSales"/>
      <sheetName val="خروجی"/>
      <sheetName val="پیوت خروجی"/>
      <sheetName val="تارگت"/>
      <sheetName val="pivot"/>
      <sheetName val="dashboard"/>
      <sheetName val="دیتا"/>
      <sheetName val="14050712"/>
    </sheetNames>
    <sheetDataSet>
      <sheetData sheetId="0">
        <row r="3">
          <cell r="A3" t="str">
            <v>PersianDate</v>
          </cell>
        </row>
        <row r="4">
          <cell r="A4" t="str">
            <v>Flag60.Falg ID</v>
          </cell>
        </row>
        <row r="5">
          <cell r="A5" t="str">
            <v>Flag45.Falg ID</v>
          </cell>
        </row>
        <row r="6">
          <cell r="A6" t="str">
            <v>Flag30.Falg ID</v>
          </cell>
        </row>
        <row r="7">
          <cell r="A7" t="str">
            <v>District</v>
          </cell>
        </row>
        <row r="8">
          <cell r="A8" t="str">
            <v>Level3</v>
          </cell>
        </row>
        <row r="9">
          <cell r="A9" t="str">
            <v>ItemId</v>
          </cell>
        </row>
        <row r="10">
          <cell r="A10" t="str">
            <v>Name</v>
          </cell>
        </row>
        <row r="12">
          <cell r="A12" t="str">
            <v xml:space="preserve">کد شعبه </v>
          </cell>
          <cell r="D12" t="str">
            <v>جمع موجودی ریالی اقلام راکد</v>
          </cell>
          <cell r="E12" t="str">
            <v xml:space="preserve">نسبت موجودی اقلام راکد به نسبت موجودی فروشگاه </v>
          </cell>
        </row>
        <row r="13">
          <cell r="A13" t="str">
            <v>OKS11426</v>
          </cell>
          <cell r="D13">
            <v>2406834235</v>
          </cell>
          <cell r="E13">
            <v>4.5083818305507069E-2</v>
          </cell>
        </row>
        <row r="14">
          <cell r="A14" t="str">
            <v>OKS11125</v>
          </cell>
          <cell r="D14">
            <v>1343392680</v>
          </cell>
          <cell r="E14">
            <v>2.6834441546784889E-2</v>
          </cell>
        </row>
        <row r="15">
          <cell r="A15" t="str">
            <v>OKS11055</v>
          </cell>
          <cell r="D15">
            <v>2665458631</v>
          </cell>
          <cell r="E15">
            <v>4.1608391673174892E-2</v>
          </cell>
        </row>
        <row r="16">
          <cell r="A16" t="str">
            <v>OKS10962</v>
          </cell>
          <cell r="D16">
            <v>1496693835</v>
          </cell>
          <cell r="E16">
            <v>2.4227144792950402E-2</v>
          </cell>
        </row>
        <row r="17">
          <cell r="A17" t="str">
            <v>OKS10887</v>
          </cell>
          <cell r="D17">
            <v>1572176833</v>
          </cell>
          <cell r="E17">
            <v>2.4982932499488655E-2</v>
          </cell>
        </row>
        <row r="18">
          <cell r="A18" t="str">
            <v>OKS10682</v>
          </cell>
          <cell r="D18">
            <v>4456639866</v>
          </cell>
          <cell r="E18">
            <v>8.5337276070161477E-2</v>
          </cell>
        </row>
        <row r="19">
          <cell r="A19" t="str">
            <v>OKS10680</v>
          </cell>
          <cell r="D19">
            <v>3135449159</v>
          </cell>
          <cell r="E19">
            <v>7.4748808394540081E-2</v>
          </cell>
        </row>
        <row r="20">
          <cell r="A20" t="str">
            <v>OKS10650</v>
          </cell>
          <cell r="D20">
            <v>1973317831</v>
          </cell>
          <cell r="E20">
            <v>3.657895085078583E-2</v>
          </cell>
        </row>
        <row r="21">
          <cell r="A21" t="str">
            <v>OKS10648</v>
          </cell>
          <cell r="D21">
            <v>824833754</v>
          </cell>
          <cell r="E21">
            <v>1.3966244090191336E-2</v>
          </cell>
        </row>
        <row r="22">
          <cell r="A22" t="str">
            <v>OKS10640</v>
          </cell>
          <cell r="D22">
            <v>1711347844</v>
          </cell>
          <cell r="E22">
            <v>3.0449397002361749E-2</v>
          </cell>
        </row>
        <row r="23">
          <cell r="A23" t="str">
            <v>OKS10474</v>
          </cell>
          <cell r="D23">
            <v>4281916797</v>
          </cell>
          <cell r="E23">
            <v>7.7425264953577419E-2</v>
          </cell>
        </row>
        <row r="24">
          <cell r="A24" t="str">
            <v>OKS10444</v>
          </cell>
          <cell r="D24">
            <v>1309710963</v>
          </cell>
          <cell r="E24">
            <v>1.7179720642912708E-2</v>
          </cell>
        </row>
        <row r="25">
          <cell r="A25" t="str">
            <v>OKS10385</v>
          </cell>
          <cell r="D25">
            <v>414968425</v>
          </cell>
          <cell r="E25">
            <v>5.561195502824327E-3</v>
          </cell>
        </row>
        <row r="26">
          <cell r="A26" t="str">
            <v>OKS10345</v>
          </cell>
          <cell r="D26">
            <v>273601080</v>
          </cell>
          <cell r="E26">
            <v>3.2096043835083653E-3</v>
          </cell>
        </row>
        <row r="27">
          <cell r="A27" t="str">
            <v>OKS10336</v>
          </cell>
          <cell r="D27">
            <v>965316840</v>
          </cell>
          <cell r="E27">
            <v>1.9745984597791214E-2</v>
          </cell>
        </row>
        <row r="28">
          <cell r="A28" t="str">
            <v>OKS10333</v>
          </cell>
          <cell r="D28">
            <v>954674297</v>
          </cell>
          <cell r="E28">
            <v>1.5644270422283557E-2</v>
          </cell>
        </row>
        <row r="29">
          <cell r="A29" t="str">
            <v>OKS10216</v>
          </cell>
          <cell r="D29">
            <v>728418890</v>
          </cell>
          <cell r="E29">
            <v>1.2526008868355037E-2</v>
          </cell>
        </row>
        <row r="30">
          <cell r="A30" t="str">
            <v>OKS10126</v>
          </cell>
          <cell r="D30">
            <v>1157417639</v>
          </cell>
          <cell r="E30">
            <v>2.2897265095432627E-2</v>
          </cell>
        </row>
        <row r="31">
          <cell r="A31" t="str">
            <v>OKS10077</v>
          </cell>
          <cell r="D31">
            <v>1863881284</v>
          </cell>
          <cell r="E31">
            <v>3.1594532827985078E-2</v>
          </cell>
        </row>
        <row r="32">
          <cell r="A32" t="str">
            <v>OKS10029</v>
          </cell>
          <cell r="D32">
            <v>2350082368</v>
          </cell>
          <cell r="E32">
            <v>4.3115769148315136E-2</v>
          </cell>
        </row>
        <row r="33">
          <cell r="A33" t="str">
            <v>OKS09989</v>
          </cell>
          <cell r="D33">
            <v>2257356964</v>
          </cell>
          <cell r="E33">
            <v>4.267372038508558E-2</v>
          </cell>
        </row>
        <row r="34">
          <cell r="A34" t="str">
            <v>OKS09812</v>
          </cell>
          <cell r="D34">
            <v>975482310</v>
          </cell>
          <cell r="E34">
            <v>1.5682536262892878E-2</v>
          </cell>
        </row>
        <row r="35">
          <cell r="A35" t="str">
            <v>OKS09644</v>
          </cell>
          <cell r="D35">
            <v>1391259092</v>
          </cell>
          <cell r="E35">
            <v>2.5762015888574807E-2</v>
          </cell>
        </row>
        <row r="36">
          <cell r="A36" t="str">
            <v>OKS09634</v>
          </cell>
          <cell r="D36">
            <v>1236354443</v>
          </cell>
          <cell r="E36">
            <v>3.1258759640485322E-2</v>
          </cell>
        </row>
        <row r="37">
          <cell r="A37" t="str">
            <v>OKS09620</v>
          </cell>
          <cell r="D37">
            <v>1174766000</v>
          </cell>
          <cell r="E37">
            <v>2.4575663908738648E-2</v>
          </cell>
        </row>
        <row r="38">
          <cell r="A38" t="str">
            <v>OKS09578</v>
          </cell>
          <cell r="D38">
            <v>2174171742</v>
          </cell>
          <cell r="E38">
            <v>4.6283594815703988E-2</v>
          </cell>
        </row>
        <row r="39">
          <cell r="A39" t="str">
            <v>OKS09506</v>
          </cell>
          <cell r="D39">
            <v>1306346745</v>
          </cell>
          <cell r="E39">
            <v>1.2079188288541078E-2</v>
          </cell>
        </row>
        <row r="40">
          <cell r="A40" t="str">
            <v>OKS09238</v>
          </cell>
          <cell r="D40">
            <v>2363471432</v>
          </cell>
          <cell r="E40">
            <v>4.4665345273511362E-2</v>
          </cell>
        </row>
        <row r="41">
          <cell r="A41" t="str">
            <v>OKS09154</v>
          </cell>
          <cell r="D41">
            <v>1157998376</v>
          </cell>
          <cell r="E41">
            <v>2.3618904938877836E-2</v>
          </cell>
        </row>
        <row r="42">
          <cell r="A42" t="str">
            <v>OKS09124</v>
          </cell>
          <cell r="D42">
            <v>1688165625</v>
          </cell>
          <cell r="E42">
            <v>2.6699341329457012E-2</v>
          </cell>
        </row>
        <row r="43">
          <cell r="A43" t="str">
            <v>OKS09122</v>
          </cell>
          <cell r="D43">
            <v>2767023382</v>
          </cell>
          <cell r="E43">
            <v>4.4900740002965185E-2</v>
          </cell>
        </row>
        <row r="44">
          <cell r="A44" t="str">
            <v>OKS08972</v>
          </cell>
          <cell r="D44">
            <v>498878600</v>
          </cell>
          <cell r="E44">
            <v>6.4336712034861665E-3</v>
          </cell>
        </row>
        <row r="45">
          <cell r="A45" t="str">
            <v>OKS08953</v>
          </cell>
          <cell r="D45">
            <v>694352910</v>
          </cell>
          <cell r="E45">
            <v>1.3099314983762274E-2</v>
          </cell>
        </row>
        <row r="46">
          <cell r="A46" t="str">
            <v>OKS08930</v>
          </cell>
          <cell r="D46">
            <v>3683142977</v>
          </cell>
          <cell r="E46">
            <v>5.2772673787061672E-2</v>
          </cell>
        </row>
        <row r="47">
          <cell r="A47" t="str">
            <v>OKS08818</v>
          </cell>
          <cell r="D47">
            <v>545748292</v>
          </cell>
          <cell r="E47">
            <v>1.0544122371955483E-2</v>
          </cell>
        </row>
        <row r="48">
          <cell r="A48" t="str">
            <v>OKS08755</v>
          </cell>
          <cell r="D48">
            <v>1695865150</v>
          </cell>
          <cell r="E48">
            <v>4.2718098673559163E-2</v>
          </cell>
        </row>
        <row r="49">
          <cell r="A49" t="str">
            <v>OKS08496</v>
          </cell>
          <cell r="D49">
            <v>542094180</v>
          </cell>
          <cell r="E49">
            <v>1.2155461105483864E-2</v>
          </cell>
        </row>
        <row r="50">
          <cell r="A50" t="str">
            <v>OKS08488</v>
          </cell>
          <cell r="D50">
            <v>1778321336</v>
          </cell>
          <cell r="E50">
            <v>2.5462989694561036E-2</v>
          </cell>
        </row>
        <row r="51">
          <cell r="A51" t="str">
            <v>OKS08239</v>
          </cell>
          <cell r="D51">
            <v>2257817490</v>
          </cell>
          <cell r="E51">
            <v>3.8182146806652717E-2</v>
          </cell>
        </row>
        <row r="52">
          <cell r="A52" t="str">
            <v>OKS08192</v>
          </cell>
          <cell r="D52">
            <v>381808000</v>
          </cell>
          <cell r="E52">
            <v>6.752604277255941E-3</v>
          </cell>
        </row>
        <row r="53">
          <cell r="A53" t="str">
            <v>OKS08113</v>
          </cell>
          <cell r="D53">
            <v>655120987</v>
          </cell>
          <cell r="E53">
            <v>1.3306985438846916E-2</v>
          </cell>
        </row>
        <row r="54">
          <cell r="A54" t="str">
            <v>OKS07979</v>
          </cell>
          <cell r="D54">
            <v>1307184253</v>
          </cell>
          <cell r="E54">
            <v>2.3868243049380403E-2</v>
          </cell>
        </row>
        <row r="55">
          <cell r="A55" t="str">
            <v>OKS07958</v>
          </cell>
          <cell r="D55">
            <v>1322112115</v>
          </cell>
          <cell r="E55">
            <v>2.4969273136436942E-2</v>
          </cell>
        </row>
        <row r="56">
          <cell r="A56" t="str">
            <v>OKS07927</v>
          </cell>
          <cell r="D56">
            <v>270416000</v>
          </cell>
          <cell r="E56">
            <v>7.5826054286262439E-3</v>
          </cell>
        </row>
        <row r="57">
          <cell r="A57" t="str">
            <v>OKS07771</v>
          </cell>
          <cell r="D57">
            <v>1498280860.0900002</v>
          </cell>
          <cell r="E57">
            <v>2.5045343011842566E-2</v>
          </cell>
        </row>
        <row r="58">
          <cell r="A58" t="str">
            <v>OKS07701</v>
          </cell>
          <cell r="D58">
            <v>947944683</v>
          </cell>
          <cell r="E58">
            <v>1.3977291111515728E-2</v>
          </cell>
        </row>
        <row r="59">
          <cell r="A59" t="str">
            <v>OKS07487</v>
          </cell>
          <cell r="D59">
            <v>2959541644</v>
          </cell>
          <cell r="E59">
            <v>5.3942366563411726E-2</v>
          </cell>
        </row>
        <row r="60">
          <cell r="A60" t="str">
            <v>OKS07381</v>
          </cell>
          <cell r="D60">
            <v>1763053840</v>
          </cell>
          <cell r="E60">
            <v>2.550740085696011E-2</v>
          </cell>
        </row>
        <row r="61">
          <cell r="A61" t="str">
            <v>OKS07363</v>
          </cell>
          <cell r="D61">
            <v>240258906</v>
          </cell>
          <cell r="E61">
            <v>4.390801462136028E-3</v>
          </cell>
        </row>
        <row r="62">
          <cell r="A62" t="str">
            <v>OKS07234</v>
          </cell>
          <cell r="D62">
            <v>1911925003</v>
          </cell>
          <cell r="E62">
            <v>2.641183634146177E-2</v>
          </cell>
        </row>
        <row r="63">
          <cell r="A63" t="str">
            <v>OKS07054</v>
          </cell>
          <cell r="D63">
            <v>690811739</v>
          </cell>
          <cell r="E63">
            <v>1.1874928066198357E-2</v>
          </cell>
        </row>
        <row r="64">
          <cell r="A64" t="str">
            <v>OKS06956</v>
          </cell>
          <cell r="D64">
            <v>2142868130</v>
          </cell>
          <cell r="E64">
            <v>3.3627082670919461E-2</v>
          </cell>
        </row>
        <row r="65">
          <cell r="A65" t="str">
            <v>OKS06816</v>
          </cell>
          <cell r="D65">
            <v>475375872</v>
          </cell>
          <cell r="E65">
            <v>8.3408966873802261E-3</v>
          </cell>
        </row>
        <row r="66">
          <cell r="A66" t="str">
            <v>OKS06765</v>
          </cell>
          <cell r="D66">
            <v>1412852379</v>
          </cell>
          <cell r="E66">
            <v>2.9880122465501056E-2</v>
          </cell>
        </row>
        <row r="67">
          <cell r="A67" t="str">
            <v>OKS06722</v>
          </cell>
          <cell r="D67">
            <v>504733120</v>
          </cell>
          <cell r="E67">
            <v>7.8825477640676947E-3</v>
          </cell>
        </row>
        <row r="68">
          <cell r="A68" t="str">
            <v>OKS06697</v>
          </cell>
          <cell r="D68">
            <v>772904920</v>
          </cell>
          <cell r="E68">
            <v>1.0374204958862491E-2</v>
          </cell>
        </row>
        <row r="69">
          <cell r="A69" t="str">
            <v>OKS05974</v>
          </cell>
          <cell r="D69">
            <v>726764219</v>
          </cell>
          <cell r="E69">
            <v>1.3164743007734273E-2</v>
          </cell>
        </row>
        <row r="70">
          <cell r="A70" t="str">
            <v>OKS05752</v>
          </cell>
          <cell r="D70">
            <v>488136146</v>
          </cell>
          <cell r="E70">
            <v>7.5346813357093844E-3</v>
          </cell>
        </row>
        <row r="71">
          <cell r="A71" t="str">
            <v>OKS05372</v>
          </cell>
          <cell r="D71">
            <v>1668359232</v>
          </cell>
          <cell r="E71">
            <v>2.2111229124782146E-2</v>
          </cell>
        </row>
        <row r="72">
          <cell r="A72" t="str">
            <v>OKS04382</v>
          </cell>
          <cell r="D72">
            <v>21853000</v>
          </cell>
          <cell r="E72">
            <v>3.9334031851764899E-4</v>
          </cell>
        </row>
        <row r="73">
          <cell r="A73" t="str">
            <v>OKS04019</v>
          </cell>
          <cell r="D73">
            <v>143196500</v>
          </cell>
          <cell r="E73">
            <v>2.701647161750326E-3</v>
          </cell>
        </row>
        <row r="74">
          <cell r="A74" t="str">
            <v>OKS02596</v>
          </cell>
          <cell r="D74">
            <v>762561050</v>
          </cell>
          <cell r="E74">
            <v>1.2250718850992595E-2</v>
          </cell>
        </row>
        <row r="75">
          <cell r="A75" t="str">
            <v>OKS02476</v>
          </cell>
          <cell r="D75">
            <v>676395050</v>
          </cell>
          <cell r="E75">
            <v>8.5516075908348872E-3</v>
          </cell>
        </row>
        <row r="76">
          <cell r="A76" t="str">
            <v>OKS02295</v>
          </cell>
          <cell r="D76">
            <v>414623415</v>
          </cell>
          <cell r="E76">
            <v>5.4546384211612963E-3</v>
          </cell>
        </row>
        <row r="77">
          <cell r="A77" t="str">
            <v>OKS01879</v>
          </cell>
          <cell r="D77">
            <v>1436232012</v>
          </cell>
          <cell r="E77">
            <v>2.7022149060532047E-2</v>
          </cell>
        </row>
        <row r="78">
          <cell r="A78" t="str">
            <v>OKS01576</v>
          </cell>
          <cell r="D78">
            <v>662915788</v>
          </cell>
          <cell r="E78">
            <v>9.472827920963784E-3</v>
          </cell>
        </row>
        <row r="79">
          <cell r="A79" t="str">
            <v>OKS01297</v>
          </cell>
          <cell r="D79">
            <v>626636462</v>
          </cell>
          <cell r="E79">
            <v>7.8008051023055582E-3</v>
          </cell>
        </row>
        <row r="80">
          <cell r="A80" t="str">
            <v>OKS00766</v>
          </cell>
          <cell r="D80">
            <v>653294749</v>
          </cell>
          <cell r="E80">
            <v>1.0508803323616525E-2</v>
          </cell>
        </row>
        <row r="81">
          <cell r="A81" t="str">
            <v>OKS00683</v>
          </cell>
          <cell r="D81">
            <v>447651558</v>
          </cell>
          <cell r="E81">
            <v>6.4673270136137344E-3</v>
          </cell>
        </row>
        <row r="82">
          <cell r="A82" t="str">
            <v>OKS00634</v>
          </cell>
          <cell r="D82">
            <v>378352567</v>
          </cell>
          <cell r="E82">
            <v>5.400038191406358E-3</v>
          </cell>
        </row>
        <row r="83">
          <cell r="A83" t="str">
            <v>OKS00019</v>
          </cell>
          <cell r="D83">
            <v>703990476</v>
          </cell>
          <cell r="E83">
            <v>7.3568782426390884E-3</v>
          </cell>
        </row>
        <row r="84">
          <cell r="A84" t="str">
            <v>Grand Total</v>
          </cell>
          <cell r="D84">
            <v>95142904972.089996</v>
          </cell>
          <cell r="E84">
            <v>2.2518534790732507E-2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E1" t="str">
            <v>فروشگاه</v>
          </cell>
          <cell r="F1" t="str">
            <v>Column1</v>
          </cell>
          <cell r="G1" t="str">
            <v>سوپروایزر/معین</v>
          </cell>
        </row>
        <row r="2">
          <cell r="E2" t="str">
            <v>فرانچایز دلفان میدان بسیج</v>
          </cell>
          <cell r="F2" t="str">
            <v xml:space="preserve">آرمین حقانی </v>
          </cell>
          <cell r="G2" t="str">
            <v xml:space="preserve">میثم جلالوند </v>
          </cell>
        </row>
        <row r="3">
          <cell r="E3" t="str">
            <v>فروشگاه دلفان خیابان رجایی</v>
          </cell>
          <cell r="F3" t="str">
            <v>سعید ذوالفقاری شریفی</v>
          </cell>
          <cell r="G3" t="str">
            <v xml:space="preserve">میثم جلالوند </v>
          </cell>
        </row>
        <row r="4">
          <cell r="E4" t="str">
            <v>فرانچایز دلفان برخوردار</v>
          </cell>
          <cell r="F4" t="str">
            <v>امین سهرابی</v>
          </cell>
          <cell r="G4" t="str">
            <v xml:space="preserve">میثم جلالوند </v>
          </cell>
        </row>
        <row r="5">
          <cell r="E5" t="str">
            <v>فروشگاه دلفان خیابان مدرس</v>
          </cell>
          <cell r="F5" t="str">
            <v>زهرا جعفری مفرد</v>
          </cell>
          <cell r="G5" t="str">
            <v xml:space="preserve">میثم جلالوند </v>
          </cell>
        </row>
        <row r="6">
          <cell r="E6" t="str">
            <v>فروشگاه دلفان بهشتی</v>
          </cell>
          <cell r="F6" t="str">
            <v>رضا خزائی</v>
          </cell>
          <cell r="G6" t="str">
            <v xml:space="preserve">میثم جلالوند </v>
          </cell>
        </row>
        <row r="7">
          <cell r="E7" t="str">
            <v>فرانچایز خرم آباد چهارراه بانک</v>
          </cell>
          <cell r="F7" t="str">
            <v>مینا باقری فرد</v>
          </cell>
          <cell r="G7" t="str">
            <v>مصطفی سیفی</v>
          </cell>
        </row>
        <row r="8">
          <cell r="E8" t="str">
            <v>فرانچایز خرم آباد بازار میدان گپ</v>
          </cell>
          <cell r="F8" t="str">
            <v>حسین جمالی فرد</v>
          </cell>
          <cell r="G8" t="str">
            <v>مصطفی سیفی</v>
          </cell>
        </row>
        <row r="9">
          <cell r="E9" t="str">
            <v>فرانچایز خرم آباد خیابان بزرگمهر</v>
          </cell>
          <cell r="F9" t="str">
            <v>یحیی داشادی</v>
          </cell>
          <cell r="G9" t="str">
            <v>مصطفی سیفی</v>
          </cell>
        </row>
        <row r="10">
          <cell r="E10" t="str">
            <v>فرانچایز خرم آباد سه راه ناصرخسرو</v>
          </cell>
          <cell r="F10" t="str">
            <v>علیرضا موسی زاده</v>
          </cell>
          <cell r="G10" t="str">
            <v>مصطفی سیفی</v>
          </cell>
        </row>
        <row r="11">
          <cell r="E11" t="str">
            <v>فرانچایز خرم آباد قاضی آباد</v>
          </cell>
          <cell r="F11" t="str">
            <v>مهدی محبی راد</v>
          </cell>
          <cell r="G11" t="str">
            <v>مصطفی سیفی</v>
          </cell>
        </row>
        <row r="12">
          <cell r="E12" t="str">
            <v>فروشگاه خرم آباد قاضی آباد دو</v>
          </cell>
          <cell r="F12" t="str">
            <v>وحید بشارتی منش</v>
          </cell>
          <cell r="G12" t="str">
            <v>مصطفی سیفی</v>
          </cell>
        </row>
        <row r="13">
          <cell r="E13" t="str">
            <v>فرانچایز خرم آباد ازنا ایمان آباد</v>
          </cell>
          <cell r="F13" t="str">
            <v xml:space="preserve">فرشته خسروی </v>
          </cell>
          <cell r="G13" t="str">
            <v>مصطفی سیفی</v>
          </cell>
        </row>
        <row r="14">
          <cell r="E14" t="str">
            <v>فرانچایز خرم آباد 20متری</v>
          </cell>
          <cell r="F14" t="str">
            <v>مهتاب تقی پور</v>
          </cell>
          <cell r="G14" t="str">
            <v>مرتضی رضایی</v>
          </cell>
        </row>
        <row r="15">
          <cell r="E15" t="str">
            <v>فرانچایز خرم آباد خیابان دهخدا</v>
          </cell>
          <cell r="F15" t="str">
            <v>فاطمه هاشمی</v>
          </cell>
          <cell r="G15" t="str">
            <v>مرتضی رضایی</v>
          </cell>
        </row>
        <row r="16">
          <cell r="E16" t="str">
            <v>فرانچایز خرم آباد خاتم الانبیا دو</v>
          </cell>
          <cell r="F16" t="str">
            <v>حسین آزادی</v>
          </cell>
          <cell r="G16" t="str">
            <v>مرتضی رضایی</v>
          </cell>
        </row>
        <row r="17">
          <cell r="E17" t="str">
            <v>فرانچایز خرم آباد 60متری پردیسان</v>
          </cell>
          <cell r="F17" t="str">
            <v>آيدا احمدي چگني</v>
          </cell>
          <cell r="G17" t="str">
            <v>مرتضی رضایی</v>
          </cell>
        </row>
        <row r="18">
          <cell r="E18" t="str">
            <v>فرانچایز خرم آباد چهارراه پژوهنده</v>
          </cell>
          <cell r="F18" t="str">
            <v>علی رضایی</v>
          </cell>
          <cell r="G18" t="str">
            <v>مرتضی رضایی</v>
          </cell>
        </row>
        <row r="19">
          <cell r="E19" t="str">
            <v>فرانچایز خرم آباد فاز دو ناصر خسرو</v>
          </cell>
          <cell r="F19" t="str">
            <v>رضا زینی وند</v>
          </cell>
          <cell r="G19" t="str">
            <v>مرتضی رضایی</v>
          </cell>
        </row>
        <row r="20">
          <cell r="E20" t="str">
            <v>فرانچایز خرم آباد کوی ارتش</v>
          </cell>
          <cell r="F20" t="str">
            <v>علي ترکاشوند</v>
          </cell>
          <cell r="G20" t="str">
            <v>مرتضی رضایی</v>
          </cell>
        </row>
        <row r="21">
          <cell r="E21" t="str">
            <v>فرانچایز خرم آباد دره گرم گلستان</v>
          </cell>
          <cell r="F21" t="str">
            <v>حسین نوری</v>
          </cell>
          <cell r="G21" t="str">
            <v>محمد کاظم بستامی</v>
          </cell>
        </row>
        <row r="22">
          <cell r="E22" t="str">
            <v>فرانچایز خرم آباد شهرک آذربایجان</v>
          </cell>
          <cell r="F22" t="str">
            <v>فاطمه حاجری</v>
          </cell>
          <cell r="G22" t="str">
            <v>محمد کاظم بستامی</v>
          </cell>
        </row>
        <row r="23">
          <cell r="E23" t="str">
            <v>فرانچایز خرم آباد دره گرم بوستان</v>
          </cell>
          <cell r="F23" t="str">
            <v>امین حسنوند</v>
          </cell>
          <cell r="G23" t="str">
            <v>محمد کاظم بستامی</v>
          </cell>
        </row>
        <row r="24">
          <cell r="E24" t="str">
            <v>فرانچایز خرم آباد مهستان</v>
          </cell>
          <cell r="F24" t="str">
            <v>محدثه کریم زاده</v>
          </cell>
          <cell r="G24" t="str">
            <v>محمد کاظم بستامی</v>
          </cell>
        </row>
        <row r="25">
          <cell r="E25" t="str">
            <v>فروشگاه خرم آباد بابک</v>
          </cell>
          <cell r="F25" t="str">
            <v>وحید جودکی</v>
          </cell>
          <cell r="G25" t="str">
            <v>مرتضی رضایی</v>
          </cell>
        </row>
        <row r="26">
          <cell r="E26" t="str">
            <v>فرانچایز خرم آباد اسدآبادی دو</v>
          </cell>
          <cell r="F26" t="str">
            <v>سعید سام پور</v>
          </cell>
          <cell r="G26" t="str">
            <v>مصطفی سیفی</v>
          </cell>
        </row>
        <row r="27">
          <cell r="E27" t="str">
            <v>فرانچایز خرم آباد میدان بیست و دو بهمن</v>
          </cell>
          <cell r="F27" t="str">
            <v>فرهاد کردعلیوند</v>
          </cell>
          <cell r="G27" t="str">
            <v>محمد کاظم بستامی</v>
          </cell>
        </row>
        <row r="28">
          <cell r="E28" t="str">
            <v>فرانچایز خرم آباد خیابان شاپوری</v>
          </cell>
          <cell r="F28" t="str">
            <v>فاطمه نصرت پور</v>
          </cell>
          <cell r="G28" t="str">
            <v>محمد شاکری</v>
          </cell>
        </row>
        <row r="29">
          <cell r="E29" t="str">
            <v>فرانچایز خرم آباد بلوار بهارستان دو</v>
          </cell>
          <cell r="F29" t="str">
            <v xml:space="preserve">زینب بیرانوندی </v>
          </cell>
          <cell r="G29" t="str">
            <v>محمد شاکری</v>
          </cell>
        </row>
        <row r="30">
          <cell r="E30" t="str">
            <v>فرانچایز خرم آباد باباطاهر</v>
          </cell>
          <cell r="F30" t="str">
            <v>مجید هاشمی فر</v>
          </cell>
          <cell r="G30" t="str">
            <v>محمد شاکری</v>
          </cell>
        </row>
        <row r="31">
          <cell r="E31" t="str">
            <v>فرانچایز خرم آباد گلدشت تامین اجتماعی دو</v>
          </cell>
          <cell r="F31" t="str">
            <v>علی رضا مرادی</v>
          </cell>
          <cell r="G31" t="str">
            <v>محمد شاکری</v>
          </cell>
        </row>
        <row r="32">
          <cell r="E32" t="str">
            <v>فرانچایز خرم آباد خیابان فلسطین</v>
          </cell>
          <cell r="F32" t="str">
            <v>زینب کشاورز</v>
          </cell>
          <cell r="G32" t="str">
            <v>محمد شاکری</v>
          </cell>
        </row>
        <row r="33">
          <cell r="E33" t="str">
            <v>فرانچایز خرم آباد چهار راه ارم</v>
          </cell>
          <cell r="F33" t="str">
            <v>رضا محمودوندی</v>
          </cell>
          <cell r="G33" t="str">
            <v>محمد شاکری</v>
          </cell>
        </row>
        <row r="34">
          <cell r="E34" t="str">
            <v>فرانچایز خرم آباد چهارباغ دو</v>
          </cell>
          <cell r="F34" t="str">
            <v>فاطمه محمدی فر</v>
          </cell>
          <cell r="G34" t="str">
            <v>محمد شاکری</v>
          </cell>
        </row>
        <row r="35">
          <cell r="E35" t="str">
            <v>فرانچایز خرم آباد گلدشت غربی دو</v>
          </cell>
          <cell r="F35" t="str">
            <v>سيده فتانه قاسمي</v>
          </cell>
          <cell r="G35" t="str">
            <v>محمد شاکری</v>
          </cell>
        </row>
        <row r="36">
          <cell r="E36" t="str">
            <v>فروشگاه خرم آباد دره گرم</v>
          </cell>
          <cell r="F36" t="str">
            <v>امین مرادی چگنی</v>
          </cell>
          <cell r="G36" t="str">
            <v>محسن ملکی</v>
          </cell>
        </row>
        <row r="37">
          <cell r="E37" t="str">
            <v>فرانچایز الشتر چهارراه کفش ملی</v>
          </cell>
          <cell r="F37" t="str">
            <v>سمیه شریفی</v>
          </cell>
          <cell r="G37" t="str">
            <v>محسن ملکی</v>
          </cell>
        </row>
        <row r="38">
          <cell r="E38" t="str">
            <v>فرانچایز الشتر بلوار شهید کلانتری</v>
          </cell>
          <cell r="F38" t="str">
            <v>رضا حسنوند</v>
          </cell>
          <cell r="G38" t="str">
            <v>محسن ملکی</v>
          </cell>
        </row>
        <row r="39">
          <cell r="E39" t="str">
            <v>فرانچایز الشتر کوی آزادگان</v>
          </cell>
          <cell r="F39" t="str">
            <v>فتانه حسنوند</v>
          </cell>
          <cell r="G39" t="str">
            <v>محسن ملکی</v>
          </cell>
        </row>
        <row r="40">
          <cell r="E40" t="str">
            <v>فروشگاه الشتر شهرداری</v>
          </cell>
          <cell r="F40" t="str">
            <v>محسن حسنوند</v>
          </cell>
          <cell r="G40" t="str">
            <v>محسن ملکی</v>
          </cell>
        </row>
        <row r="41">
          <cell r="E41" t="str">
            <v>فرانچایز الشتر آیت الله بروجردی</v>
          </cell>
          <cell r="F41" t="str">
            <v>صبا حسنوند</v>
          </cell>
          <cell r="G41" t="str">
            <v>محسن ملکی</v>
          </cell>
        </row>
        <row r="42">
          <cell r="E42" t="str">
            <v>فروشگاه کوهدشت باهنر</v>
          </cell>
          <cell r="F42" t="str">
            <v>حسين هاشمي فرد</v>
          </cell>
          <cell r="G42" t="str">
            <v xml:space="preserve">فیاض رحیم زاده </v>
          </cell>
        </row>
        <row r="43">
          <cell r="E43" t="str">
            <v>فرانچایز کوهدشت کوهنانی</v>
          </cell>
          <cell r="F43" t="str">
            <v>صحبت ولی زاده</v>
          </cell>
          <cell r="G43" t="str">
            <v xml:space="preserve">فیاض رحیم زاده </v>
          </cell>
        </row>
        <row r="44">
          <cell r="E44" t="str">
            <v>فروشگاه کوهدشت مالک اشتر</v>
          </cell>
          <cell r="F44" t="str">
            <v>میثم نوریان هاشم آبادی</v>
          </cell>
          <cell r="G44" t="str">
            <v xml:space="preserve">فیاض رحیم زاده </v>
          </cell>
        </row>
        <row r="45">
          <cell r="E45" t="str">
            <v>فرانچایز رومشکان</v>
          </cell>
          <cell r="F45" t="str">
            <v>مریم عبدی پور</v>
          </cell>
          <cell r="G45" t="str">
            <v xml:space="preserve">فیاض رحیم زاده </v>
          </cell>
        </row>
        <row r="46">
          <cell r="E46" t="str">
            <v>فرانچایز پلدختر کوی بسیجیان</v>
          </cell>
          <cell r="F46" t="str">
            <v>پرستو شهسواری</v>
          </cell>
          <cell r="G46" t="str">
            <v xml:space="preserve">فیاض رحیم زاده </v>
          </cell>
        </row>
        <row r="47">
          <cell r="E47" t="str">
            <v>فرانچایز پلدختر چهارراه جهاد</v>
          </cell>
          <cell r="F47" t="str">
            <v>فاطمه زکش</v>
          </cell>
          <cell r="G47" t="str">
            <v xml:space="preserve">فیاض رحیم زاده </v>
          </cell>
        </row>
        <row r="48">
          <cell r="E48" t="str">
            <v>فرانچایز پلدختر امام خمینی (ره)</v>
          </cell>
          <cell r="F48" t="str">
            <v>مرتضی زینی وند</v>
          </cell>
          <cell r="G48" t="str">
            <v xml:space="preserve">فیاض رحیم زاده </v>
          </cell>
        </row>
        <row r="49">
          <cell r="E49" t="str">
            <v>فرانچایز پلدختر هفت تیر دو</v>
          </cell>
          <cell r="F49" t="str">
            <v>حمزه جودکی</v>
          </cell>
          <cell r="G49" t="str">
            <v xml:space="preserve">فیاض رحیم زاده </v>
          </cell>
        </row>
        <row r="50">
          <cell r="E50" t="str">
            <v>فرانچایز ویسیان بلوار ولیعصر</v>
          </cell>
          <cell r="F50" t="str">
            <v>فاطمه سبزواری</v>
          </cell>
          <cell r="G50" t="str">
            <v>علی ابراهیمی نیا</v>
          </cell>
        </row>
        <row r="51">
          <cell r="E51" t="str">
            <v>فرانچایز معمولان خیابان امام دو</v>
          </cell>
          <cell r="F51" t="str">
            <v>علی مردانی</v>
          </cell>
          <cell r="G51" t="str">
            <v>علی ابراهیمی نیا</v>
          </cell>
        </row>
        <row r="52">
          <cell r="E52" t="str">
            <v>فرانچایز دوره چگنی خیابان رهبری</v>
          </cell>
          <cell r="F52" t="str">
            <v>اصغر امیری</v>
          </cell>
          <cell r="G52" t="str">
            <v>علی ابراهیمی نیا</v>
          </cell>
        </row>
        <row r="53">
          <cell r="E53" t="str">
            <v>فرانچایز خرم آباد چهارراه ماسور</v>
          </cell>
          <cell r="F53" t="str">
            <v>امیرمحمد زارعی ماسوری</v>
          </cell>
          <cell r="G53" t="str">
            <v>علی ابراهیمی نیا</v>
          </cell>
        </row>
        <row r="54">
          <cell r="E54" t="str">
            <v>فرانچایز خرم آباد شهرک حکمت دو</v>
          </cell>
          <cell r="F54" t="str">
            <v>رضا آزادی باغی</v>
          </cell>
          <cell r="G54" t="str">
            <v>علی ابراهیمی نیا</v>
          </cell>
        </row>
        <row r="55">
          <cell r="E55" t="str">
            <v>فرانچایز خرم آباد تلوری دو</v>
          </cell>
          <cell r="F55" t="str">
            <v>اعظم بهزادوند</v>
          </cell>
          <cell r="G55" t="str">
            <v>علی ابراهیمی نیا</v>
          </cell>
        </row>
        <row r="56">
          <cell r="E56" t="str">
            <v>فرانچایز خرم آباد ماسور دو</v>
          </cell>
          <cell r="F56" t="str">
            <v>محمد شريفي فرد</v>
          </cell>
          <cell r="G56" t="str">
            <v>علی ابراهیمی نیا</v>
          </cell>
        </row>
        <row r="57">
          <cell r="E57" t="str">
            <v>فروشگاه خرم آباد فردوسی</v>
          </cell>
          <cell r="F57" t="str">
            <v>سید وحید موسوی</v>
          </cell>
          <cell r="G57" t="str">
            <v>علی ابراهیمی نیا</v>
          </cell>
        </row>
        <row r="58">
          <cell r="E58" t="str">
            <v>فرانچایز خرم آباد میدان کیو دو</v>
          </cell>
          <cell r="F58" t="str">
            <v>سحر ترابی</v>
          </cell>
          <cell r="G58" t="str">
            <v>سامان بسطامی</v>
          </cell>
        </row>
        <row r="59">
          <cell r="E59" t="str">
            <v>فرانچایز خرم آباد میدان امام دو</v>
          </cell>
          <cell r="F59" t="str">
            <v>هادی عالی پور</v>
          </cell>
          <cell r="G59" t="str">
            <v>سامان بسطامی</v>
          </cell>
        </row>
        <row r="60">
          <cell r="E60" t="str">
            <v>فروشگاه خرم آباد خیابان علوی</v>
          </cell>
          <cell r="F60" t="str">
            <v>عبدالرضا میردریکوند</v>
          </cell>
          <cell r="G60" t="str">
            <v>سامان بسطامی</v>
          </cell>
        </row>
        <row r="61">
          <cell r="E61" t="str">
            <v>فرانچایز خرم آباد ژاندارمری</v>
          </cell>
          <cell r="F61" t="str">
            <v>مهدی ابدالی</v>
          </cell>
          <cell r="G61" t="str">
            <v>سامان بسطامی</v>
          </cell>
        </row>
        <row r="62">
          <cell r="E62" t="str">
            <v>فرانچایز خرم آباد خیابان ساحلی</v>
          </cell>
          <cell r="F62" t="str">
            <v>سارا افروزه</v>
          </cell>
          <cell r="G62" t="str">
            <v>سامان بسطامی</v>
          </cell>
        </row>
        <row r="63">
          <cell r="E63" t="str">
            <v>فروشگاه خرم آباد بلوار شصت متری</v>
          </cell>
          <cell r="F63" t="str">
            <v>حسين قلي پور</v>
          </cell>
          <cell r="G63" t="str">
            <v>محمد کاظم بستامی</v>
          </cell>
        </row>
        <row r="64">
          <cell r="E64" t="str">
            <v>فروشگاه خرم آباد ولیعصر</v>
          </cell>
          <cell r="F64" t="str">
            <v xml:space="preserve">اسماعيل رضائي </v>
          </cell>
          <cell r="G64" t="str">
            <v>سامان بسطامی</v>
          </cell>
        </row>
        <row r="65">
          <cell r="E65" t="str">
            <v>فرانچایز کوهدشت شهرک امام</v>
          </cell>
          <cell r="F65" t="str">
            <v>حمیدرضا پبری ضرونی</v>
          </cell>
          <cell r="G65" t="str">
            <v>جواد رستمی</v>
          </cell>
        </row>
        <row r="66">
          <cell r="E66" t="str">
            <v>فرانچایز کوهدشت میدان 22بهمن</v>
          </cell>
          <cell r="F66" t="str">
            <v>آیدا چاره باشی</v>
          </cell>
          <cell r="G66" t="str">
            <v>جواد رستمی</v>
          </cell>
        </row>
        <row r="67">
          <cell r="E67" t="str">
            <v>فروشگاه کوهدشت بوعلی</v>
          </cell>
          <cell r="F67" t="str">
            <v>یونس آزادبخت</v>
          </cell>
          <cell r="G67" t="str">
            <v>جواد رستمی</v>
          </cell>
        </row>
        <row r="68">
          <cell r="E68" t="str">
            <v>فرانچایز کوهدشت ساحلی</v>
          </cell>
          <cell r="F68" t="str">
            <v xml:space="preserve">مرتضی تیموری </v>
          </cell>
          <cell r="G68" t="str">
            <v>جواد رستمی</v>
          </cell>
        </row>
        <row r="69">
          <cell r="E69" t="str">
            <v>فرانچایز کوهدشت بلوار خلیج فارس</v>
          </cell>
          <cell r="F69" t="str">
            <v>نور محمد گراوند</v>
          </cell>
          <cell r="G69" t="str">
            <v>جواد رستمی</v>
          </cell>
        </row>
        <row r="70">
          <cell r="E70" t="str">
            <v>فرانچایز کوهدشت خیابان حسابی</v>
          </cell>
          <cell r="F70" t="str">
            <v xml:space="preserve">متین ضروئنی </v>
          </cell>
          <cell r="G70" t="str">
            <v>جواد رستمی</v>
          </cell>
        </row>
        <row r="71">
          <cell r="E71" t="str">
            <v>فرانچایز کوهدشت دارایی</v>
          </cell>
          <cell r="F71" t="str">
            <v>سمیرا گنجی فر</v>
          </cell>
          <cell r="G71" t="str">
            <v>جواد رستمی</v>
          </cell>
        </row>
        <row r="72">
          <cell r="E72" t="str">
            <v>فروشگاه کوهدشت شهبازی</v>
          </cell>
          <cell r="F72" t="str">
            <v>فرشید قلیچی</v>
          </cell>
          <cell r="G72" t="str">
            <v>جواد رستمی</v>
          </cell>
        </row>
      </sheetData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B50AB-9BD4-4BB0-A4DD-EAA3284D31BB}" name="Table9" displayName="Table9" ref="A1:Q73" totalsRowCount="1" headerRowDxfId="40" dataDxfId="38" totalsRowDxfId="36" headerRowBorderDxfId="39" tableBorderDxfId="37" totalsRowBorderDxfId="35">
  <autoFilter ref="A1:Q72" xr:uid="{DB6B50AB-9BD4-4BB0-A4DD-EAA3284D31BB}"/>
  <sortState xmlns:xlrd2="http://schemas.microsoft.com/office/spreadsheetml/2017/richdata2" ref="A2:Q72">
    <sortCondition descending="1" ref="Q2:Q72"/>
  </sortState>
  <tableColumns count="17">
    <tableColumn id="1" xr3:uid="{3A7E33A0-72F1-4EB3-91CD-4C26401C04A5}" name="ژ" totalsRowLabel="هدف سوپروایزر" dataDxfId="34" totalsRowDxfId="33">
      <calculatedColumnFormula>VLOOKUP(Table9[[#This Row],[نام شعبه ]],[1]دیتا!E:G,3,0)</calculatedColumnFormula>
    </tableColumn>
    <tableColumn id="9" xr3:uid="{479ABC08-F442-4FA6-837F-F7B278AC46F7}" name="کدشعبه " dataDxfId="32" totalsRowDxfId="31"/>
    <tableColumn id="2" xr3:uid="{473BE57B-093E-43DC-8279-716086DC0FB5}" name="نام شعبه " dataDxfId="30" totalsRowDxfId="29"/>
    <tableColumn id="3" xr3:uid="{E01612DC-8628-4128-B3E0-374D308CE0A8}" name="ریالی راکد " totalsRowLabel=" -   " dataDxfId="28" totalsRowDxfId="27">
      <calculatedColumnFormula>_xlfn.XLOOKUP(Table9[[#This Row],[کدشعبه ]],'[1]60 روزه'!A:A,'[1]60 روزه'!D:D,"*",0)</calculatedColumnFormula>
    </tableColumn>
    <tableColumn id="4" xr3:uid="{45982E65-12D2-4860-B61D-95F5DBF24902}" name="درصد راکد16 شهریور" totalsRowFunction="average" dataDxfId="26" totalsRowDxfId="25" dataCellStyle="Normal 2"/>
    <tableColumn id="8" xr3:uid="{EFEE338E-1837-478F-B754-70351630AB07}" name="درصد راکد18 شهریور2" totalsRowFunction="average" dataDxfId="24" totalsRowDxfId="23" dataCellStyle="Normal 2"/>
    <tableColumn id="11" xr3:uid="{33130873-277B-49F2-BAD5-6261D803475B}" name="درصد  راکد 20 شهریور" totalsRowFunction="average" dataDxfId="22" totalsRowDxfId="21" dataCellStyle="Normal 2">
      <calculatedColumnFormula>_xlfn.XLOOKUP(Table9[[#This Row],[کدشعبه ]],'[1]60 روزه'!A:A,'[1]60 روزه'!E:E,1)</calculatedColumnFormula>
    </tableColumn>
    <tableColumn id="10" xr3:uid="{0456C0A3-8950-4D74-A538-DAC1FCB5C06F}" name="درصد راکد 24 شهریور" totalsRowFunction="average" dataDxfId="20" totalsRowDxfId="19" dataCellStyle="Normal 2"/>
    <tableColumn id="14" xr3:uid="{BC5561DE-4A4D-4D22-8FD1-44CED1119A58}" name="درصد راکد 26شهریور" totalsRowFunction="average" dataDxfId="18" totalsRowDxfId="17" dataCellStyle="Normal 2"/>
    <tableColumn id="13" xr3:uid="{0DADBB78-F0DD-4791-AAA6-D299489B69AB}" name="درصد راکد1 مهر" totalsRowFunction="average" dataDxfId="16" totalsRowDxfId="15" dataCellStyle="Normal 2"/>
    <tableColumn id="15" xr3:uid="{7032A8F2-7C64-4AA3-BF01-069BC11AAC19}" name="درصد راکد9 مهر" totalsRowLabel="2.31%" dataDxfId="14" totalsRowDxfId="13" dataCellStyle="Normal 2"/>
    <tableColumn id="17" xr3:uid="{43FEE62E-EC5A-4901-BF66-A439436ECD2F}" name="درصد راکد11مهر" totalsRowFunction="average" dataDxfId="12" totalsRowDxfId="11" dataCellStyle="Normal 2"/>
    <tableColumn id="12" xr3:uid="{730A0E47-8904-41AC-B327-36EDE1050154}" name="تغییرات " totalsRowFunction="custom" dataDxfId="10" totalsRowDxfId="9" dataCellStyle="Normal 2">
      <calculatedColumnFormula>L2-K2</calculatedColumnFormula>
      <totalsRowFormula>G73-F73</totalsRowFormula>
    </tableColumn>
    <tableColumn id="5" xr3:uid="{DF92F1EB-9D67-4734-815E-253AD5E8D686}" name="سرپرست فروشگاه" dataDxfId="8" totalsRowDxfId="7" dataCellStyle="Normal 2">
      <calculatedColumnFormula>_xlfn.XLOOKUP(Table9[[#This Row],[کدشعبه ]],[1]!Table28[کد فروشگاه],[1]!Table28[Column1],"*",0)</calculatedColumnFormula>
    </tableColumn>
    <tableColumn id="6" xr3:uid="{AB5BFC34-CA58-471A-9FD7-BE546E7516F7}" name="تارگت15 مهر" totalsRowFunction="custom" dataDxfId="6" totalsRowDxfId="5" dataCellStyle="Normal 2">
      <calculatedColumnFormula>K2-(J2*0.15)</calculatedColumnFormula>
      <totalsRowFormula>J73-(I73*0.2)</totalsRowFormula>
    </tableColumn>
    <tableColumn id="7" xr3:uid="{FD9DADD5-2ECC-42DD-9490-8976F95ACEAC}" name="تغییرات تارگتی مورد انتظار " totalsRowFunction="custom" dataDxfId="4" totalsRowDxfId="3" dataCellStyle="Normal 2">
      <calculatedColumnFormula>O2-J2</calculatedColumnFormula>
      <totalsRowFormula>O73-E73</totalsRowFormula>
    </tableColumn>
    <tableColumn id="16" xr3:uid="{1B5AD070-32DA-4DAE-BB3A-FAD948D12461}" name="درصد تحقق " totalsRowFunction="custom" dataDxfId="2" totalsRowDxfId="1" dataCellStyle="Percent">
      <calculatedColumnFormula>Table9[[#This Row],[تارگت15 مهر]]/Table9[[#This Row],[درصد راکد11مهر]]</calculatedColumnFormula>
      <totalsRowFormula>Table9[[#Totals],[تارگت15 مهر]]/Table9[[#Totals],[درصد راکد11مهر]]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DA6A-DBBB-4DC5-9548-23F93E5D02D0}">
  <dimension ref="A1:Q73"/>
  <sheetViews>
    <sheetView rightToLeft="1" tabSelected="1" workbookViewId="0">
      <selection activeCell="B13" sqref="B13"/>
    </sheetView>
  </sheetViews>
  <sheetFormatPr defaultRowHeight="14.4" x14ac:dyDescent="0.3"/>
  <cols>
    <col min="1" max="1" width="12.77734375" bestFit="1" customWidth="1"/>
    <col min="2" max="2" width="10.33203125" bestFit="1" customWidth="1"/>
    <col min="3" max="3" width="30.88671875" bestFit="1" customWidth="1"/>
    <col min="4" max="4" width="14.109375" bestFit="1" customWidth="1"/>
    <col min="5" max="5" width="10.77734375" bestFit="1" customWidth="1"/>
    <col min="6" max="6" width="11.77734375" bestFit="1" customWidth="1"/>
    <col min="7" max="7" width="11.109375" bestFit="1" customWidth="1"/>
    <col min="8" max="9" width="13.21875" bestFit="1" customWidth="1"/>
    <col min="10" max="11" width="12.21875" bestFit="1" customWidth="1"/>
    <col min="12" max="12" width="12.77734375" bestFit="1" customWidth="1"/>
    <col min="13" max="13" width="10.6640625" bestFit="1" customWidth="1"/>
    <col min="14" max="14" width="17.88671875" bestFit="1" customWidth="1"/>
    <col min="15" max="15" width="12" bestFit="1" customWidth="1"/>
    <col min="16" max="16" width="13.33203125" bestFit="1" customWidth="1"/>
    <col min="17" max="17" width="13.5546875" bestFit="1" customWidth="1"/>
  </cols>
  <sheetData>
    <row r="1" spans="1:17" ht="43.2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6" t="s">
        <v>13</v>
      </c>
      <c r="O1" s="6" t="s">
        <v>14</v>
      </c>
      <c r="P1" s="6" t="s">
        <v>15</v>
      </c>
      <c r="Q1" s="7" t="s">
        <v>16</v>
      </c>
    </row>
    <row r="2" spans="1:17" x14ac:dyDescent="0.3">
      <c r="A2" s="8" t="str">
        <f>VLOOKUP(Table9[[#This Row],[نام شعبه ]],[1]دیتا!E:G,3,0)</f>
        <v>مصطفی سیفی</v>
      </c>
      <c r="B2" s="9" t="s">
        <v>17</v>
      </c>
      <c r="C2" s="10" t="s">
        <v>18</v>
      </c>
      <c r="D2" s="11">
        <f>_xlfn.XLOOKUP(Table9[[#This Row],[کدشعبه ]],'[1]60 روزه'!A:A,'[1]60 روزه'!D:D,"*",0)</f>
        <v>414623415</v>
      </c>
      <c r="E2" s="12">
        <v>8.9042383193473247E-4</v>
      </c>
      <c r="F2" s="12">
        <v>1.6925813161295306E-3</v>
      </c>
      <c r="G2" s="12">
        <f>_xlfn.XLOOKUP(Table9[[#This Row],[کدشعبه ]],'[1]60 روزه'!A:A,'[1]60 روزه'!E:E,1)</f>
        <v>5.4546384211612963E-3</v>
      </c>
      <c r="H2" s="12">
        <v>7.9667077350330916E-3</v>
      </c>
      <c r="I2" s="12">
        <v>3.2033341268976859E-3</v>
      </c>
      <c r="J2" s="12">
        <v>8.042493479633905E-3</v>
      </c>
      <c r="K2" s="12">
        <v>7.8816236386678416E-3</v>
      </c>
      <c r="L2" s="13">
        <v>5.4546384211612963E-3</v>
      </c>
      <c r="M2" s="12">
        <f t="shared" ref="M2:M65" si="0">L2-K2</f>
        <v>-2.4269852175065453E-3</v>
      </c>
      <c r="N2" s="14" t="str">
        <f>_xlfn.XLOOKUP(Table9[[#This Row],[کدشعبه ]],[1]!Table28[کد فروشگاه],[1]!Table28[Column1],"*",0)</f>
        <v>وحید بشارتی منش</v>
      </c>
      <c r="O2" s="12">
        <f t="shared" ref="O2:O65" si="1">K2-(J2*0.15)</f>
        <v>6.6752496167227556E-3</v>
      </c>
      <c r="P2" s="12">
        <f t="shared" ref="P2:P65" si="2">O2-J2</f>
        <v>-1.3672438629111494E-3</v>
      </c>
      <c r="Q2" s="15">
        <f>Table9[[#This Row],[تارگت15 مهر]]/Table9[[#This Row],[درصد راکد11مهر]]</f>
        <v>1.2237749051937323</v>
      </c>
    </row>
    <row r="3" spans="1:17" x14ac:dyDescent="0.3">
      <c r="A3" s="8" t="str">
        <f>VLOOKUP(Table9[[#This Row],[نام شعبه ]],[1]دیتا!E:G,3,0)</f>
        <v>جواد رستمی</v>
      </c>
      <c r="B3" s="9" t="s">
        <v>19</v>
      </c>
      <c r="C3" s="10" t="s">
        <v>20</v>
      </c>
      <c r="D3" s="11">
        <f>_xlfn.XLOOKUP(Table9[[#This Row],[کدشعبه ]],'[1]60 روزه'!A:A,'[1]60 روزه'!D:D,"*",0)</f>
        <v>947944683</v>
      </c>
      <c r="E3" s="12">
        <v>1.4862852035135959E-2</v>
      </c>
      <c r="F3" s="12">
        <v>1.2054733414911405E-2</v>
      </c>
      <c r="G3" s="12">
        <f>_xlfn.XLOOKUP(Table9[[#This Row],[کدشعبه ]],'[1]60 روزه'!A:A,'[1]60 روزه'!E:E,1)</f>
        <v>1.3977291111515728E-2</v>
      </c>
      <c r="H3" s="12">
        <v>1.2687427054000413E-2</v>
      </c>
      <c r="I3" s="12">
        <v>1.2715529735889811E-2</v>
      </c>
      <c r="J3" s="12">
        <v>1.6315965671526794E-2</v>
      </c>
      <c r="K3" s="12">
        <v>1.9301260886724559E-2</v>
      </c>
      <c r="L3" s="13">
        <v>1.3977291111515728E-2</v>
      </c>
      <c r="M3" s="12">
        <f t="shared" si="0"/>
        <v>-5.3239697752088307E-3</v>
      </c>
      <c r="N3" s="14" t="str">
        <f>_xlfn.XLOOKUP(Table9[[#This Row],[کدشعبه ]],[1]!Table28[کد فروشگاه],[1]!Table28[Column1],"*",0)</f>
        <v>نور محمد گراوند</v>
      </c>
      <c r="O3" s="12">
        <f t="shared" si="1"/>
        <v>1.6853866035995538E-2</v>
      </c>
      <c r="P3" s="12">
        <f t="shared" si="2"/>
        <v>5.3790036446874426E-4</v>
      </c>
      <c r="Q3" s="15">
        <f>Table9[[#This Row],[تارگت15 مهر]]/Table9[[#This Row],[درصد راکد11مهر]]</f>
        <v>1.2058034637419717</v>
      </c>
    </row>
    <row r="4" spans="1:17" x14ac:dyDescent="0.3">
      <c r="A4" s="8" t="str">
        <f>VLOOKUP(Table9[[#This Row],[نام شعبه ]],[1]دیتا!E:G,3,0)</f>
        <v>مصطفی سیفی</v>
      </c>
      <c r="B4" s="9" t="s">
        <v>21</v>
      </c>
      <c r="C4" s="10" t="s">
        <v>22</v>
      </c>
      <c r="D4" s="11">
        <f>_xlfn.XLOOKUP(Table9[[#This Row],[کدشعبه ]],'[1]60 روزه'!A:A,'[1]60 روزه'!D:D,"*",0)</f>
        <v>824833754</v>
      </c>
      <c r="E4" s="12">
        <v>1.2337835852354886E-2</v>
      </c>
      <c r="F4" s="12">
        <v>1.3817562887998427E-2</v>
      </c>
      <c r="G4" s="12">
        <f>_xlfn.XLOOKUP(Table9[[#This Row],[کدشعبه ]],'[1]60 روزه'!A:A,'[1]60 روزه'!E:E,1)</f>
        <v>1.3966244090191336E-2</v>
      </c>
      <c r="H4" s="12">
        <v>1.2091823433470691E-2</v>
      </c>
      <c r="I4" s="12">
        <v>1.1770481809003261E-2</v>
      </c>
      <c r="J4" s="12">
        <v>1.6622946431998686E-2</v>
      </c>
      <c r="K4" s="12">
        <v>1.7696682234866774E-2</v>
      </c>
      <c r="L4" s="13">
        <v>1.3966244090191336E-2</v>
      </c>
      <c r="M4" s="12">
        <f t="shared" si="0"/>
        <v>-3.7304381446754374E-3</v>
      </c>
      <c r="N4" s="14" t="str">
        <f>_xlfn.XLOOKUP(Table9[[#This Row],[کدشعبه ]],[1]!Table28[کد فروشگاه],[1]!Table28[Column1],"*",0)</f>
        <v>مینا باقری فرد</v>
      </c>
      <c r="O4" s="12">
        <f t="shared" si="1"/>
        <v>1.520324027006697E-2</v>
      </c>
      <c r="P4" s="12">
        <f t="shared" si="2"/>
        <v>-1.419706161931716E-3</v>
      </c>
      <c r="Q4" s="15">
        <f>Table9[[#This Row],[تارگت15 مهر]]/Table9[[#This Row],[درصد راکد11مهر]]</f>
        <v>1.0885704253690076</v>
      </c>
    </row>
    <row r="5" spans="1:17" x14ac:dyDescent="0.3">
      <c r="A5" s="8" t="str">
        <f>VLOOKUP(Table9[[#This Row],[نام شعبه ]],[1]دیتا!E:G,3,0)</f>
        <v>محمد شاکری</v>
      </c>
      <c r="B5" s="9" t="s">
        <v>23</v>
      </c>
      <c r="C5" s="10" t="s">
        <v>24</v>
      </c>
      <c r="D5" s="11">
        <f>_xlfn.XLOOKUP(Table9[[#This Row],[کدشعبه ]],'[1]60 روزه'!A:A,'[1]60 روزه'!D:D,"*",0)</f>
        <v>1572176833</v>
      </c>
      <c r="E5" s="12">
        <v>5.2690435374350711E-2</v>
      </c>
      <c r="F5" s="12">
        <v>5.118059115507282E-2</v>
      </c>
      <c r="G5" s="12">
        <f>_xlfn.XLOOKUP(Table9[[#This Row],[کدشعبه ]],'[1]60 روزه'!A:A,'[1]60 روزه'!E:E,1)</f>
        <v>2.4982932499488655E-2</v>
      </c>
      <c r="H5" s="12">
        <v>4.2122461405498364E-2</v>
      </c>
      <c r="I5" s="12">
        <v>5.2444817439427603E-2</v>
      </c>
      <c r="J5" s="12">
        <v>4.1368924984185332E-2</v>
      </c>
      <c r="K5" s="12">
        <v>3.2531332158565608E-2</v>
      </c>
      <c r="L5" s="13">
        <v>2.4982932499488655E-2</v>
      </c>
      <c r="M5" s="12">
        <f t="shared" si="0"/>
        <v>-7.5483996590769535E-3</v>
      </c>
      <c r="N5" s="14" t="str">
        <f>_xlfn.XLOOKUP(Table9[[#This Row],[کدشعبه ]],[1]!Table28[کد فروشگاه],[1]!Table28[Column1],"*",0)</f>
        <v>مجید هاشمی فر</v>
      </c>
      <c r="O5" s="12">
        <f t="shared" si="1"/>
        <v>2.632599341093781E-2</v>
      </c>
      <c r="P5" s="12">
        <f t="shared" si="2"/>
        <v>-1.5042931573247521E-2</v>
      </c>
      <c r="Q5" s="15">
        <f>Table9[[#This Row],[تارگت15 مهر]]/Table9[[#This Row],[درصد راکد11مهر]]</f>
        <v>1.0537591378224571</v>
      </c>
    </row>
    <row r="6" spans="1:17" x14ac:dyDescent="0.3">
      <c r="A6" s="8" t="str">
        <f>VLOOKUP(Table9[[#This Row],[نام شعبه ]],[1]دیتا!E:G,3,0)</f>
        <v>مرتضی رضایی</v>
      </c>
      <c r="B6" s="9" t="s">
        <v>25</v>
      </c>
      <c r="C6" s="10" t="s">
        <v>26</v>
      </c>
      <c r="D6" s="11">
        <f>_xlfn.XLOOKUP(Table9[[#This Row],[کدشعبه ]],'[1]60 روزه'!A:A,'[1]60 روزه'!D:D,"*",0)</f>
        <v>498878600</v>
      </c>
      <c r="E6" s="12">
        <v>1.1403451326746111E-2</v>
      </c>
      <c r="F6" s="12">
        <v>1.1716300837045206E-2</v>
      </c>
      <c r="G6" s="12">
        <f>_xlfn.XLOOKUP(Table9[[#This Row],[کدشعبه ]],'[1]60 روزه'!A:A,'[1]60 روزه'!E:E,1)</f>
        <v>6.4336712034861665E-3</v>
      </c>
      <c r="H6" s="12">
        <v>9.0712952243875451E-3</v>
      </c>
      <c r="I6" s="12">
        <v>7.2600224244833179E-3</v>
      </c>
      <c r="J6" s="12">
        <v>5.7789460011330729E-3</v>
      </c>
      <c r="K6" s="12">
        <v>7.5630100002655578E-3</v>
      </c>
      <c r="L6" s="13">
        <v>6.4336712034861665E-3</v>
      </c>
      <c r="M6" s="12">
        <f t="shared" si="0"/>
        <v>-1.1293387967793913E-3</v>
      </c>
      <c r="N6" s="14" t="str">
        <f>_xlfn.XLOOKUP(Table9[[#This Row],[کدشعبه ]],[1]!Table28[کد فروشگاه],[1]!Table28[Column1],"*",0)</f>
        <v>علی رضایی</v>
      </c>
      <c r="O6" s="12">
        <f t="shared" si="1"/>
        <v>6.6961681000955965E-3</v>
      </c>
      <c r="P6" s="12">
        <f t="shared" si="2"/>
        <v>9.172220989625236E-4</v>
      </c>
      <c r="Q6" s="15">
        <f>Table9[[#This Row],[تارگت15 مهر]]/Table9[[#This Row],[درصد راکد11مهر]]</f>
        <v>1.0408004836285685</v>
      </c>
    </row>
    <row r="7" spans="1:17" x14ac:dyDescent="0.3">
      <c r="A7" s="8" t="str">
        <f>VLOOKUP(Table9[[#This Row],[نام شعبه ]],[1]دیتا!E:G,3,0)</f>
        <v>مرتضی رضایی</v>
      </c>
      <c r="B7" s="9" t="s">
        <v>27</v>
      </c>
      <c r="C7" s="10" t="s">
        <v>28</v>
      </c>
      <c r="D7" s="11">
        <f>_xlfn.XLOOKUP(Table9[[#This Row],[کدشعبه ]],'[1]60 روزه'!A:A,'[1]60 روزه'!D:D,"*",0)</f>
        <v>143196500</v>
      </c>
      <c r="E7" s="12">
        <v>5.3208000916164493E-3</v>
      </c>
      <c r="F7" s="12">
        <v>6.1717187207247746E-3</v>
      </c>
      <c r="G7" s="12">
        <f>_xlfn.XLOOKUP(Table9[[#This Row],[کدشعبه ]],'[1]60 روزه'!A:A,'[1]60 روزه'!E:E,1)</f>
        <v>2.701647161750326E-3</v>
      </c>
      <c r="H7" s="12">
        <v>1.9684240310952495E-3</v>
      </c>
      <c r="I7" s="12">
        <v>1.9113638946004748E-3</v>
      </c>
      <c r="J7" s="12">
        <v>3.0632043576247288E-3</v>
      </c>
      <c r="K7" s="12">
        <v>3.2522990000720827E-3</v>
      </c>
      <c r="L7" s="13">
        <v>2.701647161750326E-3</v>
      </c>
      <c r="M7" s="12">
        <f t="shared" si="0"/>
        <v>-5.5065183832175672E-4</v>
      </c>
      <c r="N7" s="14" t="str">
        <f>_xlfn.XLOOKUP(Table9[[#This Row],[کدشعبه ]],[1]!Table28[کد فروشگاه],[1]!Table28[Column1],"*",0)</f>
        <v>رضا زینی وند</v>
      </c>
      <c r="O7" s="12">
        <f t="shared" si="1"/>
        <v>2.7928183464283733E-3</v>
      </c>
      <c r="P7" s="12">
        <f t="shared" si="2"/>
        <v>-2.7038601119635554E-4</v>
      </c>
      <c r="Q7" s="15">
        <f>Table9[[#This Row],[تارگت15 مهر]]/Table9[[#This Row],[درصد راکد11مهر]]</f>
        <v>1.0337465180386398</v>
      </c>
    </row>
    <row r="8" spans="1:17" x14ac:dyDescent="0.3">
      <c r="A8" s="8" t="str">
        <f>VLOOKUP(Table9[[#This Row],[نام شعبه ]],[1]دیتا!E:G,3,0)</f>
        <v>علی ابراهیمی نیا</v>
      </c>
      <c r="B8" s="9" t="s">
        <v>29</v>
      </c>
      <c r="C8" s="10" t="s">
        <v>30</v>
      </c>
      <c r="D8" s="11">
        <f>_xlfn.XLOOKUP(Table9[[#This Row],[کدشعبه ]],'[1]60 روزه'!A:A,'[1]60 روزه'!D:D,"*",0)</f>
        <v>273601080</v>
      </c>
      <c r="E8" s="12">
        <v>1.8041287378381787E-3</v>
      </c>
      <c r="F8" s="12">
        <v>1.8805227856574991E-3</v>
      </c>
      <c r="G8" s="12">
        <f>_xlfn.XLOOKUP(Table9[[#This Row],[کدشعبه ]],'[1]60 روزه'!A:A,'[1]60 روزه'!E:E,1)</f>
        <v>3.2096043835083653E-3</v>
      </c>
      <c r="H8" s="12">
        <v>1.9385821699033831E-3</v>
      </c>
      <c r="I8" s="12">
        <v>1.9477156254126729E-3</v>
      </c>
      <c r="J8" s="12">
        <v>2.18161905610315E-3</v>
      </c>
      <c r="K8" s="12">
        <v>3.6294318935584766E-3</v>
      </c>
      <c r="L8" s="13">
        <v>3.2096043835083653E-3</v>
      </c>
      <c r="M8" s="12">
        <f t="shared" si="0"/>
        <v>-4.1982751005011131E-4</v>
      </c>
      <c r="N8" s="14" t="str">
        <f>_xlfn.XLOOKUP(Table9[[#This Row],[کدشعبه ]],[1]!Table28[کد فروشگاه],[1]!Table28[Column1],"*",0)</f>
        <v>اصغر امیری</v>
      </c>
      <c r="O8" s="12">
        <f t="shared" si="1"/>
        <v>3.302189035143004E-3</v>
      </c>
      <c r="P8" s="12">
        <f t="shared" si="2"/>
        <v>1.120569979039854E-3</v>
      </c>
      <c r="Q8" s="15">
        <f>Table9[[#This Row],[تارگت15 مهر]]/Table9[[#This Row],[درصد راکد11مهر]]</f>
        <v>1.0288461257438326</v>
      </c>
    </row>
    <row r="9" spans="1:17" x14ac:dyDescent="0.3">
      <c r="A9" s="8" t="str">
        <f>VLOOKUP(Table9[[#This Row],[نام شعبه ]],[1]دیتا!E:G,3,0)</f>
        <v>مرتضی رضایی</v>
      </c>
      <c r="B9" s="9" t="s">
        <v>31</v>
      </c>
      <c r="C9" s="10" t="s">
        <v>32</v>
      </c>
      <c r="D9" s="11">
        <f>_xlfn.XLOOKUP(Table9[[#This Row],[کدشعبه ]],'[1]60 روزه'!A:A,'[1]60 روزه'!D:D,"*",0)</f>
        <v>954674297</v>
      </c>
      <c r="E9" s="12">
        <v>1.1465640293129241E-2</v>
      </c>
      <c r="F9" s="12">
        <v>8.6177035912614539E-3</v>
      </c>
      <c r="G9" s="12">
        <f>_xlfn.XLOOKUP(Table9[[#This Row],[کدشعبه ]],'[1]60 روزه'!A:A,'[1]60 روزه'!E:E,1)</f>
        <v>1.5644270422283557E-2</v>
      </c>
      <c r="H9" s="12">
        <v>1.106732349533175E-2</v>
      </c>
      <c r="I9" s="12">
        <v>1.0958509832488474E-2</v>
      </c>
      <c r="J9" s="12">
        <v>1.0910992206114096E-2</v>
      </c>
      <c r="K9" s="12">
        <v>1.7478987161630898E-2</v>
      </c>
      <c r="L9" s="13">
        <v>1.5644270422283557E-2</v>
      </c>
      <c r="M9" s="12">
        <f t="shared" si="0"/>
        <v>-1.8347167393473404E-3</v>
      </c>
      <c r="N9" s="14" t="str">
        <f>_xlfn.XLOOKUP(Table9[[#This Row],[کدشعبه ]],[1]!Table28[کد فروشگاه],[1]!Table28[Column1],"*",0)</f>
        <v>فاطمه هاشمی</v>
      </c>
      <c r="O9" s="12">
        <f t="shared" si="1"/>
        <v>1.5842338330713784E-2</v>
      </c>
      <c r="P9" s="12">
        <f t="shared" si="2"/>
        <v>4.9313461245996879E-3</v>
      </c>
      <c r="Q9" s="15">
        <f>Table9[[#This Row],[تارگت15 مهر]]/Table9[[#This Row],[درصد راکد11مهر]]</f>
        <v>1.0126607315703327</v>
      </c>
    </row>
    <row r="10" spans="1:17" x14ac:dyDescent="0.3">
      <c r="A10" s="8" t="str">
        <f>VLOOKUP(Table9[[#This Row],[نام شعبه ]],[1]دیتا!E:G,3,0)</f>
        <v>مصطفی سیفی</v>
      </c>
      <c r="B10" s="9" t="s">
        <v>33</v>
      </c>
      <c r="C10" s="10" t="s">
        <v>34</v>
      </c>
      <c r="D10" s="11">
        <f>_xlfn.XLOOKUP(Table9[[#This Row],[کدشعبه ]],'[1]60 روزه'!A:A,'[1]60 روزه'!D:D,"*",0)</f>
        <v>772904920</v>
      </c>
      <c r="E10" s="12">
        <v>1.034246290889285E-2</v>
      </c>
      <c r="F10" s="12">
        <v>1.0127304124117439E-2</v>
      </c>
      <c r="G10" s="12">
        <f>_xlfn.XLOOKUP(Table9[[#This Row],[کدشعبه ]],'[1]60 روزه'!A:A,'[1]60 روزه'!E:E,1)</f>
        <v>1.0374204958862491E-2</v>
      </c>
      <c r="H10" s="12">
        <v>1.1122606973150411E-2</v>
      </c>
      <c r="I10" s="12">
        <v>1.1632759722746817E-2</v>
      </c>
      <c r="J10" s="12">
        <v>1.2814716586725795E-2</v>
      </c>
      <c r="K10" s="12">
        <v>1.206668837456887E-2</v>
      </c>
      <c r="L10" s="13">
        <v>1.0374204958862491E-2</v>
      </c>
      <c r="M10" s="12">
        <f t="shared" si="0"/>
        <v>-1.6924834157063789E-3</v>
      </c>
      <c r="N10" s="14" t="str">
        <f>_xlfn.XLOOKUP(Table9[[#This Row],[کدشعبه ]],[1]!Table28[کد فروشگاه],[1]!Table28[Column1],"*",0)</f>
        <v>سعید سام پور</v>
      </c>
      <c r="O10" s="12">
        <f t="shared" si="1"/>
        <v>1.014448088656E-2</v>
      </c>
      <c r="P10" s="12">
        <f t="shared" si="2"/>
        <v>-2.6702357001657951E-3</v>
      </c>
      <c r="Q10" s="15">
        <f>Table9[[#This Row],[تارگت15 مهر]]/Table9[[#This Row],[درصد راکد11مهر]]</f>
        <v>0.97785622385393089</v>
      </c>
    </row>
    <row r="11" spans="1:17" x14ac:dyDescent="0.3">
      <c r="A11" s="8" t="str">
        <f>VLOOKUP(Table9[[#This Row],[نام شعبه ]],[1]دیتا!E:G,3,0)</f>
        <v>علی ابراهیمی نیا</v>
      </c>
      <c r="B11" s="9" t="s">
        <v>35</v>
      </c>
      <c r="C11" s="10" t="s">
        <v>36</v>
      </c>
      <c r="D11" s="11">
        <f>_xlfn.XLOOKUP(Table9[[#This Row],[کدشعبه ]],'[1]60 روزه'!A:A,'[1]60 روزه'!D:D,"*",0)</f>
        <v>504733120</v>
      </c>
      <c r="E11" s="12">
        <v>6.6431250863921345E-3</v>
      </c>
      <c r="F11" s="12">
        <v>5.9467733684897012E-3</v>
      </c>
      <c r="G11" s="12">
        <f>_xlfn.XLOOKUP(Table9[[#This Row],[کدشعبه ]],'[1]60 روزه'!A:A,'[1]60 روزه'!E:E,1)</f>
        <v>7.8825477640676947E-3</v>
      </c>
      <c r="H11" s="12">
        <v>7.6578001600167518E-3</v>
      </c>
      <c r="I11" s="12">
        <v>9.3060185691874568E-3</v>
      </c>
      <c r="J11" s="12">
        <v>6.8137076632191181E-3</v>
      </c>
      <c r="K11" s="12">
        <v>8.6163711256992959E-3</v>
      </c>
      <c r="L11" s="13">
        <v>7.8825477640676947E-3</v>
      </c>
      <c r="M11" s="12">
        <f t="shared" si="0"/>
        <v>-7.3382336163160117E-4</v>
      </c>
      <c r="N11" s="14" t="str">
        <f>_xlfn.XLOOKUP(Table9[[#This Row],[کدشعبه ]],[1]!Table28[کد فروشگاه],[1]!Table28[Column1],"*",0)</f>
        <v>محمد شريفي فرد</v>
      </c>
      <c r="O11" s="12">
        <f t="shared" si="1"/>
        <v>7.5943149762164285E-3</v>
      </c>
      <c r="P11" s="12">
        <f t="shared" si="2"/>
        <v>7.8060731299731036E-4</v>
      </c>
      <c r="Q11" s="15">
        <f>Table9[[#This Row],[تارگت15 مهر]]/Table9[[#This Row],[درصد راکد11مهر]]</f>
        <v>0.96343405755621747</v>
      </c>
    </row>
    <row r="12" spans="1:17" x14ac:dyDescent="0.3">
      <c r="A12" s="8" t="str">
        <f>VLOOKUP(Table9[[#This Row],[نام شعبه ]],[1]دیتا!E:G,3,0)</f>
        <v>سامان بسطامی</v>
      </c>
      <c r="B12" s="9" t="s">
        <v>37</v>
      </c>
      <c r="C12" s="10" t="s">
        <v>38</v>
      </c>
      <c r="D12" s="11">
        <f>_xlfn.XLOOKUP(Table9[[#This Row],[کدشعبه ]],'[1]60 روزه'!A:A,'[1]60 روزه'!D:D,"*",0)</f>
        <v>542094180</v>
      </c>
      <c r="E12" s="12">
        <v>5.4851675633515147E-3</v>
      </c>
      <c r="F12" s="12">
        <v>5.8707608037696342E-3</v>
      </c>
      <c r="G12" s="12">
        <f>_xlfn.XLOOKUP(Table9[[#This Row],[کدشعبه ]],'[1]60 روزه'!A:A,'[1]60 روزه'!E:E,1)</f>
        <v>1.2155461105483864E-2</v>
      </c>
      <c r="H12" s="12">
        <v>7.0081855999051352E-3</v>
      </c>
      <c r="I12" s="12">
        <v>8.328990456578228E-3</v>
      </c>
      <c r="J12" s="12">
        <v>4.5032864134481685E-3</v>
      </c>
      <c r="K12" s="12">
        <v>1.2336273515410758E-2</v>
      </c>
      <c r="L12" s="13">
        <v>1.2155461105483864E-2</v>
      </c>
      <c r="M12" s="12">
        <f t="shared" si="0"/>
        <v>-1.8081240992689346E-4</v>
      </c>
      <c r="N12" s="14" t="str">
        <f>_xlfn.XLOOKUP(Table9[[#This Row],[کدشعبه ]],[1]!Table28[کد فروشگاه],[1]!Table28[Column1],"*",0)</f>
        <v>عبدالرضا میردریکوند</v>
      </c>
      <c r="O12" s="12">
        <f t="shared" si="1"/>
        <v>1.1660780553393531E-2</v>
      </c>
      <c r="P12" s="12">
        <f t="shared" si="2"/>
        <v>7.1574941399453629E-3</v>
      </c>
      <c r="Q12" s="15">
        <f>Table9[[#This Row],[تارگت15 مهر]]/Table9[[#This Row],[درصد راکد11مهر]]</f>
        <v>0.95930384312059047</v>
      </c>
    </row>
    <row r="13" spans="1:17" x14ac:dyDescent="0.3">
      <c r="A13" s="8" t="str">
        <f>VLOOKUP(Table9[[#This Row],[نام شعبه ]],[1]دیتا!E:G,3,0)</f>
        <v xml:space="preserve">فیاض رحیم زاده </v>
      </c>
      <c r="B13" s="9" t="s">
        <v>39</v>
      </c>
      <c r="C13" s="10" t="s">
        <v>40</v>
      </c>
      <c r="D13" s="11">
        <f>_xlfn.XLOOKUP(Table9[[#This Row],[کدشعبه ]],'[1]60 روزه'!A:A,'[1]60 روزه'!D:D,"*",0)</f>
        <v>676395050</v>
      </c>
      <c r="E13" s="12">
        <v>9.771302132155029E-3</v>
      </c>
      <c r="F13" s="12">
        <v>1.0337077211290556E-2</v>
      </c>
      <c r="G13" s="12">
        <f>_xlfn.XLOOKUP(Table9[[#This Row],[کدشعبه ]],'[1]60 روزه'!A:A,'[1]60 روزه'!E:E,1)</f>
        <v>8.5516075908348872E-3</v>
      </c>
      <c r="H13" s="12">
        <v>7.7894231967381988E-3</v>
      </c>
      <c r="I13" s="12">
        <v>9.297423241421663E-3</v>
      </c>
      <c r="J13" s="12">
        <v>9.8294728683716876E-3</v>
      </c>
      <c r="K13" s="12">
        <v>9.6352857470355935E-3</v>
      </c>
      <c r="L13" s="13">
        <v>8.5516075908348872E-3</v>
      </c>
      <c r="M13" s="12">
        <f t="shared" si="0"/>
        <v>-1.0836781562007063E-3</v>
      </c>
      <c r="N13" s="14" t="str">
        <f>_xlfn.XLOOKUP(Table9[[#This Row],[کدشعبه ]],[1]!Table28[کد فروشگاه],[1]!Table28[Column1],"*",0)</f>
        <v>حمزه جودکی</v>
      </c>
      <c r="O13" s="12">
        <f t="shared" si="1"/>
        <v>8.1608648167798403E-3</v>
      </c>
      <c r="P13" s="12">
        <f t="shared" si="2"/>
        <v>-1.6686080515918474E-3</v>
      </c>
      <c r="Q13" s="15">
        <f>Table9[[#This Row],[تارگت15 مهر]]/Table9[[#This Row],[درصد راکد11مهر]]</f>
        <v>0.95430768192943949</v>
      </c>
    </row>
    <row r="14" spans="1:17" x14ac:dyDescent="0.3">
      <c r="A14" s="8" t="str">
        <f>VLOOKUP(Table9[[#This Row],[نام شعبه ]],[1]دیتا!E:G,3,0)</f>
        <v>محمد کاظم بستامی</v>
      </c>
      <c r="B14" s="9" t="s">
        <v>41</v>
      </c>
      <c r="C14" s="10" t="s">
        <v>42</v>
      </c>
      <c r="D14" s="11">
        <f>_xlfn.XLOOKUP(Table9[[#This Row],[کدشعبه ]],'[1]60 روزه'!A:A,'[1]60 روزه'!D:D,"*",0)</f>
        <v>694352910</v>
      </c>
      <c r="E14" s="12">
        <v>1.4077377278850622E-2</v>
      </c>
      <c r="F14" s="12">
        <v>1.4886539647694976E-2</v>
      </c>
      <c r="G14" s="12">
        <f>_xlfn.XLOOKUP(Table9[[#This Row],[کدشعبه ]],'[1]60 روزه'!A:A,'[1]60 روزه'!E:E,1)</f>
        <v>1.3099314983762274E-2</v>
      </c>
      <c r="H14" s="12">
        <v>1.8161131851352656E-2</v>
      </c>
      <c r="I14" s="12">
        <v>1.718833989999486E-2</v>
      </c>
      <c r="J14" s="12">
        <v>1.8570170179467667E-2</v>
      </c>
      <c r="K14" s="12">
        <v>1.4947565725274123E-2</v>
      </c>
      <c r="L14" s="13">
        <v>1.3099314983762274E-2</v>
      </c>
      <c r="M14" s="12">
        <f t="shared" si="0"/>
        <v>-1.8482507415118494E-3</v>
      </c>
      <c r="N14" s="14" t="str">
        <f>_xlfn.XLOOKUP(Table9[[#This Row],[کدشعبه ]],[1]!Table28[کد فروشگاه],[1]!Table28[Column1],"*",0)</f>
        <v>محدثه کریم زاده</v>
      </c>
      <c r="O14" s="12">
        <f t="shared" si="1"/>
        <v>1.2162040198353973E-2</v>
      </c>
      <c r="P14" s="12">
        <f t="shared" si="2"/>
        <v>-6.408129981113694E-3</v>
      </c>
      <c r="Q14" s="15">
        <f>Table9[[#This Row],[تارگت15 مهر]]/Table9[[#This Row],[درصد راکد11مهر]]</f>
        <v>0.92844856493869077</v>
      </c>
    </row>
    <row r="15" spans="1:17" x14ac:dyDescent="0.3">
      <c r="A15" s="8" t="str">
        <f>VLOOKUP(Table9[[#This Row],[نام شعبه ]],[1]دیتا!E:G,3,0)</f>
        <v>جواد رستمی</v>
      </c>
      <c r="B15" s="9" t="s">
        <v>43</v>
      </c>
      <c r="C15" s="10" t="s">
        <v>44</v>
      </c>
      <c r="D15" s="11">
        <f>_xlfn.XLOOKUP(Table9[[#This Row],[کدشعبه ]],'[1]60 روزه'!A:A,'[1]60 روزه'!D:D,"*",0)</f>
        <v>1157417639</v>
      </c>
      <c r="E15" s="12">
        <v>1.6580094547747302E-2</v>
      </c>
      <c r="F15" s="12">
        <v>1.7010046033538763E-2</v>
      </c>
      <c r="G15" s="12">
        <f>_xlfn.XLOOKUP(Table9[[#This Row],[کدشعبه ]],'[1]60 روزه'!A:A,'[1]60 روزه'!E:E,1)</f>
        <v>2.2897265095432627E-2</v>
      </c>
      <c r="H15" s="12">
        <v>2.3659272700699334E-2</v>
      </c>
      <c r="I15" s="12">
        <v>2.1969270604038648E-2</v>
      </c>
      <c r="J15" s="12">
        <v>1.9331163761428301E-2</v>
      </c>
      <c r="K15" s="12">
        <v>2.3914782966254357E-2</v>
      </c>
      <c r="L15" s="13">
        <v>2.2897265095432627E-2</v>
      </c>
      <c r="M15" s="12">
        <f t="shared" si="0"/>
        <v>-1.0175178708217297E-3</v>
      </c>
      <c r="N15" s="14" t="str">
        <f>_xlfn.XLOOKUP(Table9[[#This Row],[کدشعبه ]],[1]!Table28[کد فروشگاه],[1]!Table28[Column1],"*",0)</f>
        <v>حمیدرضا پبری ضرونی</v>
      </c>
      <c r="O15" s="12">
        <f t="shared" si="1"/>
        <v>2.1015108402040111E-2</v>
      </c>
      <c r="P15" s="12">
        <f t="shared" si="2"/>
        <v>1.6839446406118098E-3</v>
      </c>
      <c r="Q15" s="15">
        <f>Table9[[#This Row],[تارگت15 مهر]]/Table9[[#This Row],[درصد راکد11مهر]]</f>
        <v>0.91779993437871521</v>
      </c>
    </row>
    <row r="16" spans="1:17" x14ac:dyDescent="0.3">
      <c r="A16" s="8" t="str">
        <f>VLOOKUP(Table9[[#This Row],[نام شعبه ]],[1]دیتا!E:G,3,0)</f>
        <v>علی ابراهیمی نیا</v>
      </c>
      <c r="B16" s="9" t="s">
        <v>45</v>
      </c>
      <c r="C16" s="10" t="s">
        <v>46</v>
      </c>
      <c r="D16" s="11">
        <f>_xlfn.XLOOKUP(Table9[[#This Row],[کدشعبه ]],'[1]60 روزه'!A:A,'[1]60 روزه'!D:D,"*",0)</f>
        <v>1496693835</v>
      </c>
      <c r="E16" s="12">
        <v>1.5965372878998907E-2</v>
      </c>
      <c r="F16" s="12">
        <v>1.5455770665209541E-2</v>
      </c>
      <c r="G16" s="12">
        <f>_xlfn.XLOOKUP(Table9[[#This Row],[کدشعبه ]],'[1]60 روزه'!A:A,'[1]60 روزه'!E:E,1)</f>
        <v>2.4227144792950402E-2</v>
      </c>
      <c r="H16" s="12">
        <v>1.565404064477122E-2</v>
      </c>
      <c r="I16" s="12">
        <v>1.768759886365999E-2</v>
      </c>
      <c r="J16" s="12">
        <v>2.4382984764901243E-2</v>
      </c>
      <c r="K16" s="12">
        <v>2.5798345262280989E-2</v>
      </c>
      <c r="L16" s="13">
        <v>2.4227144792950402E-2</v>
      </c>
      <c r="M16" s="12">
        <f t="shared" si="0"/>
        <v>-1.5712004693305866E-3</v>
      </c>
      <c r="N16" s="14" t="str">
        <f>_xlfn.XLOOKUP(Table9[[#This Row],[کدشعبه ]],[1]!Table28[کد فروشگاه],[1]!Table28[Column1],"*",0)</f>
        <v>امیرمحمد زارعی ماسوری</v>
      </c>
      <c r="O16" s="12">
        <f t="shared" si="1"/>
        <v>2.2140897547545803E-2</v>
      </c>
      <c r="P16" s="12">
        <f t="shared" si="2"/>
        <v>-2.2420872173554394E-3</v>
      </c>
      <c r="Q16" s="15">
        <f>Table9[[#This Row],[تارگت15 مهر]]/Table9[[#This Row],[درصد راکد11مهر]]</f>
        <v>0.91388802670582736</v>
      </c>
    </row>
    <row r="17" spans="1:17" x14ac:dyDescent="0.3">
      <c r="A17" s="8" t="str">
        <f>VLOOKUP(Table9[[#This Row],[نام شعبه ]],[1]دیتا!E:G,3,0)</f>
        <v xml:space="preserve">فیاض رحیم زاده </v>
      </c>
      <c r="B17" s="9" t="s">
        <v>47</v>
      </c>
      <c r="C17" s="10" t="s">
        <v>48</v>
      </c>
      <c r="D17" s="11">
        <f>_xlfn.XLOOKUP(Table9[[#This Row],[کدشعبه ]],'[1]60 روزه'!A:A,'[1]60 روزه'!D:D,"*",0)</f>
        <v>2142868130</v>
      </c>
      <c r="E17" s="12">
        <v>1.9111878698987429E-2</v>
      </c>
      <c r="F17" s="12">
        <v>2.0303083977881539E-2</v>
      </c>
      <c r="G17" s="12">
        <f>_xlfn.XLOOKUP(Table9[[#This Row],[کدشعبه ]],'[1]60 روزه'!A:A,'[1]60 روزه'!E:E,1)</f>
        <v>3.3627082670919461E-2</v>
      </c>
      <c r="H17" s="12">
        <v>1.9620495324311586E-2</v>
      </c>
      <c r="I17" s="12">
        <v>2.2339939808200808E-2</v>
      </c>
      <c r="J17" s="12">
        <v>1.9658772756838985E-2</v>
      </c>
      <c r="K17" s="12">
        <v>3.3073746875749564E-2</v>
      </c>
      <c r="L17" s="13">
        <v>3.3627082670919461E-2</v>
      </c>
      <c r="M17" s="12">
        <f t="shared" si="0"/>
        <v>5.5333579516989723E-4</v>
      </c>
      <c r="N17" s="14" t="str">
        <f>_xlfn.XLOOKUP(Table9[[#This Row],[کدشعبه ]],[1]!Table28[کد فروشگاه],[1]!Table28[Column1],"*",0)</f>
        <v>مرتضی زینی وند</v>
      </c>
      <c r="O17" s="12">
        <f t="shared" si="1"/>
        <v>3.0124930962223715E-2</v>
      </c>
      <c r="P17" s="12">
        <f t="shared" si="2"/>
        <v>1.046615820538473E-2</v>
      </c>
      <c r="Q17" s="15">
        <f>Table9[[#This Row],[تارگت15 مهر]]/Table9[[#This Row],[درصد راکد11مهر]]</f>
        <v>0.89585323999204991</v>
      </c>
    </row>
    <row r="18" spans="1:17" x14ac:dyDescent="0.3">
      <c r="A18" s="8" t="str">
        <f>VLOOKUP(Table9[[#This Row],[نام شعبه ]],[1]دیتا!E:G,3,0)</f>
        <v>محمد شاکری</v>
      </c>
      <c r="B18" s="9" t="s">
        <v>49</v>
      </c>
      <c r="C18" s="10" t="s">
        <v>50</v>
      </c>
      <c r="D18" s="11">
        <f>_xlfn.XLOOKUP(Table9[[#This Row],[کدشعبه ]],'[1]60 روزه'!A:A,'[1]60 روزه'!D:D,"*",0)</f>
        <v>2350082368</v>
      </c>
      <c r="E18" s="12">
        <v>4.2840820188994641E-2</v>
      </c>
      <c r="F18" s="12">
        <v>4.6759390053878885E-2</v>
      </c>
      <c r="G18" s="12">
        <f>_xlfn.XLOOKUP(Table9[[#This Row],[کدشعبه ]],'[1]60 روزه'!A:A,'[1]60 روزه'!E:E,1)</f>
        <v>4.3115769148315136E-2</v>
      </c>
      <c r="H18" s="12">
        <v>5.1569991099915127E-2</v>
      </c>
      <c r="I18" s="12">
        <v>5.4454218405267776E-2</v>
      </c>
      <c r="J18" s="12">
        <v>4.5619089682310605E-2</v>
      </c>
      <c r="K18" s="12">
        <v>4.5282559233464595E-2</v>
      </c>
      <c r="L18" s="13">
        <v>4.3115769148315136E-2</v>
      </c>
      <c r="M18" s="12">
        <f t="shared" si="0"/>
        <v>-2.1667900851494587E-3</v>
      </c>
      <c r="N18" s="14" t="str">
        <f>_xlfn.XLOOKUP(Table9[[#This Row],[کدشعبه ]],[1]!Table28[کد فروشگاه],[1]!Table28[Column1],"*",0)</f>
        <v>زینب کشاورز</v>
      </c>
      <c r="O18" s="12">
        <f t="shared" si="1"/>
        <v>3.8439695781118007E-2</v>
      </c>
      <c r="P18" s="12">
        <f t="shared" si="2"/>
        <v>-7.1793939011925989E-3</v>
      </c>
      <c r="Q18" s="15">
        <f>Table9[[#This Row],[تارگت15 مهر]]/Table9[[#This Row],[درصد راکد11مهر]]</f>
        <v>0.89154609880408775</v>
      </c>
    </row>
    <row r="19" spans="1:17" x14ac:dyDescent="0.3">
      <c r="A19" s="8" t="str">
        <f>VLOOKUP(Table9[[#This Row],[نام شعبه ]],[1]دیتا!E:G,3,0)</f>
        <v>محسن ملکی</v>
      </c>
      <c r="B19" s="9" t="s">
        <v>51</v>
      </c>
      <c r="C19" s="10" t="s">
        <v>52</v>
      </c>
      <c r="D19" s="11">
        <f>_xlfn.XLOOKUP(Table9[[#This Row],[کدشعبه ]],'[1]60 روزه'!A:A,'[1]60 روزه'!D:D,"*",0)</f>
        <v>4456639866</v>
      </c>
      <c r="E19" s="12">
        <v>0.11507393276676733</v>
      </c>
      <c r="F19" s="12">
        <v>0.11879398731155968</v>
      </c>
      <c r="G19" s="12">
        <f>_xlfn.XLOOKUP(Table9[[#This Row],[کدشعبه ]],'[1]60 روزه'!A:A,'[1]60 روزه'!E:E,1)</f>
        <v>8.5337276070161477E-2</v>
      </c>
      <c r="H19" s="12">
        <v>0.10835773689202234</v>
      </c>
      <c r="I19" s="12">
        <v>0.10929536713765481</v>
      </c>
      <c r="J19" s="12">
        <v>7.98257176886773E-2</v>
      </c>
      <c r="K19" s="12">
        <v>8.6351525974118104E-2</v>
      </c>
      <c r="L19" s="13">
        <v>8.5337276070161477E-2</v>
      </c>
      <c r="M19" s="12">
        <f t="shared" si="0"/>
        <v>-1.0142499039566266E-3</v>
      </c>
      <c r="N19" s="14" t="str">
        <f>_xlfn.XLOOKUP(Table9[[#This Row],[کدشعبه ]],[1]!Table28[کد فروشگاه],[1]!Table28[Column1],"*",0)</f>
        <v>سمیه شریفی</v>
      </c>
      <c r="O19" s="12">
        <f t="shared" si="1"/>
        <v>7.4377668320816506E-2</v>
      </c>
      <c r="P19" s="12">
        <f t="shared" si="2"/>
        <v>-5.4480493678607939E-3</v>
      </c>
      <c r="Q19" s="15">
        <f>Table9[[#This Row],[تارگت15 مهر]]/Table9[[#This Row],[درصد راکد11مهر]]</f>
        <v>0.87157303052028112</v>
      </c>
    </row>
    <row r="20" spans="1:17" x14ac:dyDescent="0.3">
      <c r="A20" s="8" t="str">
        <f>VLOOKUP(Table9[[#This Row],[نام شعبه ]],[1]دیتا!E:G,3,0)</f>
        <v>محسن ملکی</v>
      </c>
      <c r="B20" s="9" t="s">
        <v>53</v>
      </c>
      <c r="C20" s="10" t="s">
        <v>54</v>
      </c>
      <c r="D20" s="11">
        <f>_xlfn.XLOOKUP(Table9[[#This Row],[کدشعبه ]],'[1]60 روزه'!A:A,'[1]60 روزه'!D:D,"*",0)</f>
        <v>1307184253</v>
      </c>
      <c r="E20" s="12">
        <v>1.7355980173920763E-2</v>
      </c>
      <c r="F20" s="12">
        <v>1.8432743425734126E-2</v>
      </c>
      <c r="G20" s="12">
        <f>_xlfn.XLOOKUP(Table9[[#This Row],[کدشعبه ]],'[1]60 روزه'!A:A,'[1]60 روزه'!E:E,1)</f>
        <v>2.3868243049380403E-2</v>
      </c>
      <c r="H20" s="12">
        <v>1.7575560636713068E-2</v>
      </c>
      <c r="I20" s="12">
        <v>2.0091442963770693E-2</v>
      </c>
      <c r="J20" s="12">
        <v>2.0654880620176057E-2</v>
      </c>
      <c r="K20" s="12">
        <v>2.3868527072824799E-2</v>
      </c>
      <c r="L20" s="13">
        <v>2.3868243049380403E-2</v>
      </c>
      <c r="M20" s="12">
        <f t="shared" si="0"/>
        <v>-2.8402344439543148E-7</v>
      </c>
      <c r="N20" s="14" t="str">
        <f>_xlfn.XLOOKUP(Table9[[#This Row],[کدشعبه ]],[1]!Table28[کد فروشگاه],[1]!Table28[Column1],"*",0)</f>
        <v>امین مرادی چگنی</v>
      </c>
      <c r="O20" s="12">
        <f t="shared" si="1"/>
        <v>2.077029497979839E-2</v>
      </c>
      <c r="P20" s="12">
        <f t="shared" si="2"/>
        <v>1.154143596223331E-4</v>
      </c>
      <c r="Q20" s="15">
        <f>Table9[[#This Row],[تارگت15 مهر]]/Table9[[#This Row],[درصد راکد11مهر]]</f>
        <v>0.87020627939925255</v>
      </c>
    </row>
    <row r="21" spans="1:17" x14ac:dyDescent="0.3">
      <c r="A21" s="8" t="str">
        <f>VLOOKUP(Table9[[#This Row],[نام شعبه ]],[1]دیتا!E:G,3,0)</f>
        <v xml:space="preserve">میثم جلالوند </v>
      </c>
      <c r="B21" s="9" t="s">
        <v>55</v>
      </c>
      <c r="C21" s="10" t="s">
        <v>56</v>
      </c>
      <c r="D21" s="11">
        <f>_xlfn.XLOOKUP(Table9[[#This Row],[کدشعبه ]],'[1]60 روزه'!A:A,'[1]60 روزه'!D:D,"*",0)</f>
        <v>703990476</v>
      </c>
      <c r="E21" s="12">
        <v>3.8086694482860691E-3</v>
      </c>
      <c r="F21" s="12">
        <v>4.1139422371344872E-3</v>
      </c>
      <c r="G21" s="12">
        <f>_xlfn.XLOOKUP(Table9[[#This Row],[کدشعبه ]],'[1]60 روزه'!A:A,'[1]60 روزه'!E:E,1)</f>
        <v>7.3568782426390884E-3</v>
      </c>
      <c r="H21" s="12">
        <v>5.4585489136411321E-3</v>
      </c>
      <c r="I21" s="12">
        <v>5.5829306489088475E-3</v>
      </c>
      <c r="J21" s="12">
        <v>7.8040023926704422E-3</v>
      </c>
      <c r="K21" s="12">
        <v>7.5666595527514617E-3</v>
      </c>
      <c r="L21" s="13">
        <v>7.3568782426390884E-3</v>
      </c>
      <c r="M21" s="12">
        <f t="shared" si="0"/>
        <v>-2.0978131011237331E-4</v>
      </c>
      <c r="N21" s="14" t="str">
        <f>_xlfn.XLOOKUP(Table9[[#This Row],[کدشعبه ]],[1]!Table28[کد فروشگاه],[1]!Table28[Column1],"*",0)</f>
        <v>رضا خزائی</v>
      </c>
      <c r="O21" s="12">
        <f t="shared" si="1"/>
        <v>6.3960591938508954E-3</v>
      </c>
      <c r="P21" s="12">
        <f t="shared" si="2"/>
        <v>-1.4079431988195468E-3</v>
      </c>
      <c r="Q21" s="15">
        <f>Table9[[#This Row],[تارگت15 مهر]]/Table9[[#This Row],[درصد راکد11مهر]]</f>
        <v>0.86939853874168183</v>
      </c>
    </row>
    <row r="22" spans="1:17" x14ac:dyDescent="0.3">
      <c r="A22" s="8" t="str">
        <f>VLOOKUP(Table9[[#This Row],[نام شعبه ]],[1]دیتا!E:G,3,0)</f>
        <v>محسن ملکی</v>
      </c>
      <c r="B22" s="9" t="s">
        <v>57</v>
      </c>
      <c r="C22" s="10" t="s">
        <v>58</v>
      </c>
      <c r="D22" s="11">
        <f>_xlfn.XLOOKUP(Table9[[#This Row],[کدشعبه ]],'[1]60 روزه'!A:A,'[1]60 روزه'!D:D,"*",0)</f>
        <v>2257356964</v>
      </c>
      <c r="E22" s="12">
        <v>4.4039134442364805E-2</v>
      </c>
      <c r="F22" s="12">
        <v>4.4988060230685696E-2</v>
      </c>
      <c r="G22" s="12">
        <f>_xlfn.XLOOKUP(Table9[[#This Row],[کدشعبه ]],'[1]60 روزه'!A:A,'[1]60 روزه'!E:E,1)</f>
        <v>4.267372038508558E-2</v>
      </c>
      <c r="H22" s="12">
        <v>4.4497209308485566E-2</v>
      </c>
      <c r="I22" s="12">
        <v>4.7937833816530551E-2</v>
      </c>
      <c r="J22" s="12">
        <v>4.1459578641909529E-2</v>
      </c>
      <c r="K22" s="12">
        <v>4.3195632330545651E-2</v>
      </c>
      <c r="L22" s="13">
        <v>4.267372038508558E-2</v>
      </c>
      <c r="M22" s="12">
        <f t="shared" si="0"/>
        <v>-5.2191194546007125E-4</v>
      </c>
      <c r="N22" s="14" t="str">
        <f>_xlfn.XLOOKUP(Table9[[#This Row],[کدشعبه ]],[1]!Table28[کد فروشگاه],[1]!Table28[Column1],"*",0)</f>
        <v>فتانه حسنوند</v>
      </c>
      <c r="O22" s="12">
        <f t="shared" si="1"/>
        <v>3.6976695534259224E-2</v>
      </c>
      <c r="P22" s="12">
        <f t="shared" si="2"/>
        <v>-4.4828831076503053E-3</v>
      </c>
      <c r="Q22" s="15">
        <f>Table9[[#This Row],[تارگت15 مهر]]/Table9[[#This Row],[درصد راکد11مهر]]</f>
        <v>0.86649805080464792</v>
      </c>
    </row>
    <row r="23" spans="1:17" x14ac:dyDescent="0.3">
      <c r="A23" s="8" t="str">
        <f>VLOOKUP(Table9[[#This Row],[نام شعبه ]],[1]دیتا!E:G,3,0)</f>
        <v>محمد شاکری</v>
      </c>
      <c r="B23" s="9" t="s">
        <v>59</v>
      </c>
      <c r="C23" s="10" t="s">
        <v>60</v>
      </c>
      <c r="D23" s="11">
        <f>_xlfn.XLOOKUP(Table9[[#This Row],[کدشعبه ]],'[1]60 روزه'!A:A,'[1]60 روزه'!D:D,"*",0)</f>
        <v>2665458631</v>
      </c>
      <c r="E23" s="12">
        <v>5.0888542422497601E-2</v>
      </c>
      <c r="F23" s="12">
        <v>4.9395886872870831E-2</v>
      </c>
      <c r="G23" s="12">
        <f>_xlfn.XLOOKUP(Table9[[#This Row],[کدشعبه ]],'[1]60 روزه'!A:A,'[1]60 روزه'!E:E,1)</f>
        <v>4.1608391673174892E-2</v>
      </c>
      <c r="H23" s="12">
        <v>4.2747606854172782E-2</v>
      </c>
      <c r="I23" s="12">
        <v>4.84308692331714E-2</v>
      </c>
      <c r="J23" s="12">
        <v>4.0340999854962353E-2</v>
      </c>
      <c r="K23" s="12">
        <v>4.2030234041407613E-2</v>
      </c>
      <c r="L23" s="13">
        <v>4.1608391673174892E-2</v>
      </c>
      <c r="M23" s="12">
        <f t="shared" si="0"/>
        <v>-4.2184236823272075E-4</v>
      </c>
      <c r="N23" s="14" t="str">
        <f>_xlfn.XLOOKUP(Table9[[#This Row],[کدشعبه ]],[1]!Table28[کد فروشگاه],[1]!Table28[Column1],"*",0)</f>
        <v xml:space="preserve">زینب بیرانوندی </v>
      </c>
      <c r="O23" s="12">
        <f t="shared" si="1"/>
        <v>3.5979084063163261E-2</v>
      </c>
      <c r="P23" s="12">
        <f t="shared" si="2"/>
        <v>-4.3619157917990925E-3</v>
      </c>
      <c r="Q23" s="15">
        <f>Table9[[#This Row],[تارگت15 مهر]]/Table9[[#This Row],[درصد راکد11مهر]]</f>
        <v>0.86470739714650224</v>
      </c>
    </row>
    <row r="24" spans="1:17" x14ac:dyDescent="0.3">
      <c r="A24" s="8" t="str">
        <f>VLOOKUP(Table9[[#This Row],[نام شعبه ]],[1]دیتا!E:G,3,0)</f>
        <v>علی ابراهیمی نیا</v>
      </c>
      <c r="B24" s="9" t="s">
        <v>61</v>
      </c>
      <c r="C24" s="10" t="s">
        <v>62</v>
      </c>
      <c r="D24" s="11">
        <f>_xlfn.XLOOKUP(Table9[[#This Row],[کدشعبه ]],'[1]60 روزه'!A:A,'[1]60 روزه'!D:D,"*",0)</f>
        <v>1306346745</v>
      </c>
      <c r="E24" s="12">
        <v>1.8160021339682364E-2</v>
      </c>
      <c r="F24" s="12">
        <v>2.1410937164477058E-2</v>
      </c>
      <c r="G24" s="12">
        <f>_xlfn.XLOOKUP(Table9[[#This Row],[کدشعبه ]],'[1]60 روزه'!A:A,'[1]60 روزه'!E:E,1)</f>
        <v>1.2079188288541078E-2</v>
      </c>
      <c r="H24" s="12">
        <v>1.7827660362012717E-2</v>
      </c>
      <c r="I24" s="12">
        <v>1.867091774361395E-2</v>
      </c>
      <c r="J24" s="12">
        <v>1.5860065822555152E-2</v>
      </c>
      <c r="K24" s="12">
        <v>1.2819950732044567E-2</v>
      </c>
      <c r="L24" s="13">
        <v>1.2079188288541078E-2</v>
      </c>
      <c r="M24" s="12">
        <f t="shared" si="0"/>
        <v>-7.4076244350348985E-4</v>
      </c>
      <c r="N24" s="14" t="str">
        <f>_xlfn.XLOOKUP(Table9[[#This Row],[کدشعبه ]],[1]!Table28[کد فروشگاه],[1]!Table28[Column1],"*",0)</f>
        <v>علی مردانی</v>
      </c>
      <c r="O24" s="12">
        <f t="shared" si="1"/>
        <v>1.0440940858661294E-2</v>
      </c>
      <c r="P24" s="12">
        <f t="shared" si="2"/>
        <v>-5.4191249638938579E-3</v>
      </c>
      <c r="Q24" s="15">
        <f>Table9[[#This Row],[تارگت15 مهر]]/Table9[[#This Row],[درصد راکد11مهر]]</f>
        <v>0.86437437758678648</v>
      </c>
    </row>
    <row r="25" spans="1:17" x14ac:dyDescent="0.3">
      <c r="A25" s="8" t="str">
        <f>VLOOKUP(Table9[[#This Row],[نام شعبه ]],[1]دیتا!E:G,3,0)</f>
        <v>محمد شاکری</v>
      </c>
      <c r="B25" s="9" t="s">
        <v>63</v>
      </c>
      <c r="C25" s="10" t="s">
        <v>64</v>
      </c>
      <c r="D25" s="11">
        <f>_xlfn.XLOOKUP(Table9[[#This Row],[کدشعبه ]],'[1]60 روزه'!A:A,'[1]60 روزه'!D:D,"*",0)</f>
        <v>2406834235</v>
      </c>
      <c r="E25" s="12">
        <v>5.2303024002764174E-2</v>
      </c>
      <c r="F25" s="12">
        <v>6.2863842610949031E-2</v>
      </c>
      <c r="G25" s="12">
        <f>_xlfn.XLOOKUP(Table9[[#This Row],[کدشعبه ]],'[1]60 روزه'!A:A,'[1]60 روزه'!E:E,1)</f>
        <v>4.5083818305507069E-2</v>
      </c>
      <c r="H25" s="12">
        <v>5.3491441845748049E-2</v>
      </c>
      <c r="I25" s="12">
        <v>5.053156931801514E-2</v>
      </c>
      <c r="J25" s="12">
        <v>4.4067941730513968E-2</v>
      </c>
      <c r="K25" s="12">
        <v>4.5530797747811637E-2</v>
      </c>
      <c r="L25" s="13">
        <v>4.5083818305507069E-2</v>
      </c>
      <c r="M25" s="12">
        <f t="shared" si="0"/>
        <v>-4.469794423045681E-4</v>
      </c>
      <c r="N25" s="14" t="str">
        <f>_xlfn.XLOOKUP(Table9[[#This Row],[کدشعبه ]],[1]!Table28[کد فروشگاه],[1]!Table28[Column1],"*",0)</f>
        <v>فاطمه نصرت پور</v>
      </c>
      <c r="O25" s="12">
        <f t="shared" si="1"/>
        <v>3.892060648823454E-2</v>
      </c>
      <c r="P25" s="12">
        <f t="shared" si="2"/>
        <v>-5.1473352422794286E-3</v>
      </c>
      <c r="Q25" s="15">
        <f>Table9[[#This Row],[تارگت15 مهر]]/Table9[[#This Row],[درصد راکد11مهر]]</f>
        <v>0.86329436926774938</v>
      </c>
    </row>
    <row r="26" spans="1:17" x14ac:dyDescent="0.3">
      <c r="A26" s="8" t="str">
        <f>VLOOKUP(Table9[[#This Row],[نام شعبه ]],[1]دیتا!E:G,3,0)</f>
        <v>محسن ملکی</v>
      </c>
      <c r="B26" s="9" t="s">
        <v>65</v>
      </c>
      <c r="C26" s="10" t="s">
        <v>66</v>
      </c>
      <c r="D26" s="11">
        <f>_xlfn.XLOOKUP(Table9[[#This Row],[کدشعبه ]],'[1]60 روزه'!A:A,'[1]60 روزه'!D:D,"*",0)</f>
        <v>3135449159</v>
      </c>
      <c r="E26" s="12">
        <v>0.11716824282797168</v>
      </c>
      <c r="F26" s="12">
        <v>0.12127874264310586</v>
      </c>
      <c r="G26" s="12">
        <f>_xlfn.XLOOKUP(Table9[[#This Row],[کدشعبه ]],'[1]60 روزه'!A:A,'[1]60 روزه'!E:E,1)</f>
        <v>7.4748808394540081E-2</v>
      </c>
      <c r="H26" s="12">
        <v>0.10626264489758565</v>
      </c>
      <c r="I26" s="12">
        <v>0.10464866004291221</v>
      </c>
      <c r="J26" s="12">
        <v>6.1113037706246473E-2</v>
      </c>
      <c r="K26" s="12">
        <v>7.3588779804214674E-2</v>
      </c>
      <c r="L26" s="13">
        <v>7.4748808394540081E-2</v>
      </c>
      <c r="M26" s="12">
        <f t="shared" si="0"/>
        <v>1.1600285903254071E-3</v>
      </c>
      <c r="N26" s="14" t="str">
        <f>_xlfn.XLOOKUP(Table9[[#This Row],[کدشعبه ]],[1]!Table28[کد فروشگاه],[1]!Table28[Column1],"*",0)</f>
        <v>رضا حسنوند</v>
      </c>
      <c r="O26" s="12">
        <f t="shared" si="1"/>
        <v>6.4421824148277698E-2</v>
      </c>
      <c r="P26" s="12">
        <f t="shared" si="2"/>
        <v>3.3087864420312252E-3</v>
      </c>
      <c r="Q26" s="15">
        <f>Table9[[#This Row],[تارگت15 مهر]]/Table9[[#This Row],[درصد راکد11مهر]]</f>
        <v>0.86184416222725091</v>
      </c>
    </row>
    <row r="27" spans="1:17" x14ac:dyDescent="0.3">
      <c r="A27" s="8" t="str">
        <f>VLOOKUP(Table9[[#This Row],[نام شعبه ]],[1]دیتا!E:G,3,0)</f>
        <v>مصطفی سیفی</v>
      </c>
      <c r="B27" s="9" t="s">
        <v>67</v>
      </c>
      <c r="C27" s="10" t="s">
        <v>68</v>
      </c>
      <c r="D27" s="11">
        <f>_xlfn.XLOOKUP(Table9[[#This Row],[کدشعبه ]],'[1]60 روزه'!A:A,'[1]60 روزه'!D:D,"*",0)</f>
        <v>1763053840</v>
      </c>
      <c r="E27" s="12">
        <v>2.4804959256832373E-2</v>
      </c>
      <c r="F27" s="12">
        <v>2.3144785448424444E-2</v>
      </c>
      <c r="G27" s="12">
        <f>_xlfn.XLOOKUP(Table9[[#This Row],[کدشعبه ]],'[1]60 روزه'!A:A,'[1]60 روزه'!E:E,1)</f>
        <v>2.550740085696011E-2</v>
      </c>
      <c r="H27" s="12">
        <v>2.5983601219271055E-2</v>
      </c>
      <c r="I27" s="12">
        <v>2.5839213038088543E-2</v>
      </c>
      <c r="J27" s="12">
        <v>2.5522351548439851E-2</v>
      </c>
      <c r="K27" s="12">
        <v>2.5806415152166858E-2</v>
      </c>
      <c r="L27" s="13">
        <v>2.550740085696011E-2</v>
      </c>
      <c r="M27" s="12">
        <f t="shared" si="0"/>
        <v>-2.9901429520674816E-4</v>
      </c>
      <c r="N27" s="14" t="str">
        <f>_xlfn.XLOOKUP(Table9[[#This Row],[کدشعبه ]],[1]!Table28[کد فروشگاه],[1]!Table28[Column1],"*",0)</f>
        <v>مهدی محبی راد</v>
      </c>
      <c r="O27" s="12">
        <f t="shared" si="1"/>
        <v>2.1978062419900881E-2</v>
      </c>
      <c r="P27" s="12">
        <f t="shared" si="2"/>
        <v>-3.5442891285389702E-3</v>
      </c>
      <c r="Q27" s="15">
        <f>Table9[[#This Row],[تارگت15 مهر]]/Table9[[#This Row],[درصد راکد11مهر]]</f>
        <v>0.86163472880475034</v>
      </c>
    </row>
    <row r="28" spans="1:17" x14ac:dyDescent="0.3">
      <c r="A28" s="8" t="str">
        <f>VLOOKUP(Table9[[#This Row],[نام شعبه ]],[1]دیتا!E:G,3,0)</f>
        <v>مصطفی سیفی</v>
      </c>
      <c r="B28" s="9" t="s">
        <v>69</v>
      </c>
      <c r="C28" s="10" t="s">
        <v>70</v>
      </c>
      <c r="D28" s="11">
        <f>_xlfn.XLOOKUP(Table9[[#This Row],[کدشعبه ]],'[1]60 روزه'!A:A,'[1]60 روزه'!D:D,"*",0)</f>
        <v>975482310</v>
      </c>
      <c r="E28" s="12">
        <v>1.8348137534385783E-2</v>
      </c>
      <c r="F28" s="12">
        <v>2.1546564755057375E-2</v>
      </c>
      <c r="G28" s="12">
        <f>_xlfn.XLOOKUP(Table9[[#This Row],[کدشعبه ]],'[1]60 روزه'!A:A,'[1]60 روزه'!E:E,1)</f>
        <v>1.5682536262892878E-2</v>
      </c>
      <c r="H28" s="12">
        <v>1.9761917772541594E-2</v>
      </c>
      <c r="I28" s="12">
        <v>1.82683361703831E-2</v>
      </c>
      <c r="J28" s="12">
        <v>1.5174778657400627E-2</v>
      </c>
      <c r="K28" s="12">
        <v>1.5766660998670089E-2</v>
      </c>
      <c r="L28" s="13">
        <v>1.5682536262892878E-2</v>
      </c>
      <c r="M28" s="12">
        <f t="shared" si="0"/>
        <v>-8.4124735777211385E-5</v>
      </c>
      <c r="N28" s="14" t="str">
        <f>_xlfn.XLOOKUP(Table9[[#This Row],[کدشعبه ]],[1]!Table28[کد فروشگاه],[1]!Table28[Column1],"*",0)</f>
        <v xml:space="preserve">فرشته خسروی </v>
      </c>
      <c r="O28" s="12">
        <f t="shared" si="1"/>
        <v>1.3490444200059995E-2</v>
      </c>
      <c r="P28" s="12">
        <f t="shared" si="2"/>
        <v>-1.6843344573406315E-3</v>
      </c>
      <c r="Q28" s="15">
        <f>Table9[[#This Row],[تارگت15 مهر]]/Table9[[#This Row],[درصد راکد11مهر]]</f>
        <v>0.86022081976499642</v>
      </c>
    </row>
    <row r="29" spans="1:17" x14ac:dyDescent="0.3">
      <c r="A29" s="8" t="str">
        <f>VLOOKUP(Table9[[#This Row],[نام شعبه ]],[1]دیتا!E:G,3,0)</f>
        <v>محمد کاظم بستامی</v>
      </c>
      <c r="B29" s="9" t="s">
        <v>71</v>
      </c>
      <c r="C29" s="10" t="s">
        <v>72</v>
      </c>
      <c r="D29" s="11">
        <f>_xlfn.XLOOKUP(Table9[[#This Row],[کدشعبه ]],'[1]60 روزه'!A:A,'[1]60 روزه'!D:D,"*",0)</f>
        <v>762561050</v>
      </c>
      <c r="E29" s="12">
        <v>1.2159123127017238E-2</v>
      </c>
      <c r="F29" s="12">
        <v>1.3654727550820958E-2</v>
      </c>
      <c r="G29" s="12">
        <f>_xlfn.XLOOKUP(Table9[[#This Row],[کدشعبه ]],'[1]60 روزه'!A:A,'[1]60 روزه'!E:E,1)</f>
        <v>1.2250718850992595E-2</v>
      </c>
      <c r="H29" s="12">
        <v>1.374490000995906E-2</v>
      </c>
      <c r="I29" s="12">
        <v>1.8149938146925455E-2</v>
      </c>
      <c r="J29" s="12">
        <v>1.705814068048268E-2</v>
      </c>
      <c r="K29" s="12">
        <v>1.306149811646995E-2</v>
      </c>
      <c r="L29" s="13">
        <v>1.2250718850992595E-2</v>
      </c>
      <c r="M29" s="12">
        <f t="shared" si="0"/>
        <v>-8.107792654773547E-4</v>
      </c>
      <c r="N29" s="14" t="str">
        <f>_xlfn.XLOOKUP(Table9[[#This Row],[کدشعبه ]],[1]!Table28[کد فروشگاه],[1]!Table28[Column1],"*",0)</f>
        <v>فرهاد کردعلیوند</v>
      </c>
      <c r="O29" s="12">
        <f t="shared" si="1"/>
        <v>1.0502777014397547E-2</v>
      </c>
      <c r="P29" s="12">
        <f t="shared" si="2"/>
        <v>-6.555363666085133E-3</v>
      </c>
      <c r="Q29" s="15">
        <f>Table9[[#This Row],[تارگت15 مهر]]/Table9[[#This Row],[درصد راکد11مهر]]</f>
        <v>0.85731924323335329</v>
      </c>
    </row>
    <row r="30" spans="1:17" x14ac:dyDescent="0.3">
      <c r="A30" s="8" t="str">
        <f>VLOOKUP(Table9[[#This Row],[نام شعبه ]],[1]دیتا!E:G,3,0)</f>
        <v xml:space="preserve">میثم جلالوند </v>
      </c>
      <c r="B30" s="9" t="s">
        <v>73</v>
      </c>
      <c r="C30" s="10" t="s">
        <v>74</v>
      </c>
      <c r="D30" s="11">
        <f>_xlfn.XLOOKUP(Table9[[#This Row],[کدشعبه ]],'[1]60 روزه'!A:A,'[1]60 روزه'!D:D,"*",0)</f>
        <v>1498280860.0900002</v>
      </c>
      <c r="E30" s="12">
        <v>2.795395749239981E-2</v>
      </c>
      <c r="F30" s="12">
        <v>2.6950271327247682E-2</v>
      </c>
      <c r="G30" s="12">
        <f>_xlfn.XLOOKUP(Table9[[#This Row],[کدشعبه ]],'[1]60 روزه'!A:A,'[1]60 روزه'!E:E,1)</f>
        <v>2.5045343011842566E-2</v>
      </c>
      <c r="H30" s="12">
        <v>2.7362066309854261E-2</v>
      </c>
      <c r="I30" s="12">
        <v>2.784479752100549E-2</v>
      </c>
      <c r="J30" s="12">
        <v>2.6485014747486262E-2</v>
      </c>
      <c r="K30" s="12">
        <v>2.5412395886125962E-2</v>
      </c>
      <c r="L30" s="13">
        <v>2.5045343011842566E-2</v>
      </c>
      <c r="M30" s="12">
        <f t="shared" si="0"/>
        <v>-3.6705287428339534E-4</v>
      </c>
      <c r="N30" s="14" t="str">
        <f>_xlfn.XLOOKUP(Table9[[#This Row],[کدشعبه ]],[1]!Table28[کد فروشگاه],[1]!Table28[Column1],"*",0)</f>
        <v>امین سهرابی</v>
      </c>
      <c r="O30" s="12">
        <f t="shared" si="1"/>
        <v>2.1439643674003021E-2</v>
      </c>
      <c r="P30" s="12">
        <f t="shared" si="2"/>
        <v>-5.0453710734832402E-3</v>
      </c>
      <c r="Q30" s="15">
        <f>Table9[[#This Row],[تارگت15 مهر]]/Table9[[#This Row],[درصد راکد11مهر]]</f>
        <v>0.85603314212408244</v>
      </c>
    </row>
    <row r="31" spans="1:17" x14ac:dyDescent="0.3">
      <c r="A31" s="8" t="str">
        <f>VLOOKUP(Table9[[#This Row],[نام شعبه ]],[1]دیتا!E:G,3,0)</f>
        <v>مرتضی رضایی</v>
      </c>
      <c r="B31" s="9" t="s">
        <v>75</v>
      </c>
      <c r="C31" s="10" t="s">
        <v>76</v>
      </c>
      <c r="D31" s="11">
        <f>_xlfn.XLOOKUP(Table9[[#This Row],[کدشعبه ]],'[1]60 روزه'!A:A,'[1]60 روزه'!D:D,"*",0)</f>
        <v>662915788</v>
      </c>
      <c r="E31" s="12">
        <v>1.2239844593892634E-2</v>
      </c>
      <c r="F31" s="12">
        <v>1.2599358473964321E-2</v>
      </c>
      <c r="G31" s="12">
        <f>_xlfn.XLOOKUP(Table9[[#This Row],[کدشعبه ]],'[1]60 روزه'!A:A,'[1]60 روزه'!E:E,1)</f>
        <v>9.472827920963784E-3</v>
      </c>
      <c r="H31" s="12">
        <v>1.6241291091331152E-2</v>
      </c>
      <c r="I31" s="12">
        <v>1.4189099526410202E-2</v>
      </c>
      <c r="J31" s="12">
        <v>1.1483586079673308E-2</v>
      </c>
      <c r="K31" s="12">
        <v>9.8198499121969398E-3</v>
      </c>
      <c r="L31" s="13">
        <v>9.472827920963784E-3</v>
      </c>
      <c r="M31" s="12">
        <f t="shared" si="0"/>
        <v>-3.4702199123315576E-4</v>
      </c>
      <c r="N31" s="14" t="str">
        <f>_xlfn.XLOOKUP(Table9[[#This Row],[کدشعبه ]],[1]!Table28[کد فروشگاه],[1]!Table28[Column1],"*",0)</f>
        <v>علي ترکاشوند</v>
      </c>
      <c r="O31" s="12">
        <f t="shared" si="1"/>
        <v>8.0973120002459445E-3</v>
      </c>
      <c r="P31" s="12">
        <f t="shared" si="2"/>
        <v>-3.3862740794273639E-3</v>
      </c>
      <c r="Q31" s="15">
        <f>Table9[[#This Row],[تارگت15 مهر]]/Table9[[#This Row],[درصد راکد11مهر]]</f>
        <v>0.85479352816345766</v>
      </c>
    </row>
    <row r="32" spans="1:17" x14ac:dyDescent="0.3">
      <c r="A32" s="8" t="str">
        <f>VLOOKUP(Table9[[#This Row],[نام شعبه ]],[1]دیتا!E:G,3,0)</f>
        <v>جواد رستمی</v>
      </c>
      <c r="B32" s="9" t="s">
        <v>77</v>
      </c>
      <c r="C32" s="10" t="s">
        <v>78</v>
      </c>
      <c r="D32" s="11">
        <f>_xlfn.XLOOKUP(Table9[[#This Row],[کدشعبه ]],'[1]60 روزه'!A:A,'[1]60 روزه'!D:D,"*",0)</f>
        <v>2257817490</v>
      </c>
      <c r="E32" s="12">
        <v>6.005360578623483E-2</v>
      </c>
      <c r="F32" s="12">
        <v>6.1726757554178779E-2</v>
      </c>
      <c r="G32" s="12">
        <f>_xlfn.XLOOKUP(Table9[[#This Row],[کدشعبه ]],'[1]60 روزه'!A:A,'[1]60 روزه'!E:E,1)</f>
        <v>3.8182146806652717E-2</v>
      </c>
      <c r="H32" s="12">
        <v>5.2646904092807124E-2</v>
      </c>
      <c r="I32" s="12">
        <v>4.8632968366377864E-2</v>
      </c>
      <c r="J32" s="12">
        <v>3.8186708460752547E-2</v>
      </c>
      <c r="K32" s="12">
        <v>3.8251546679893993E-2</v>
      </c>
      <c r="L32" s="13">
        <v>3.8182146806652717E-2</v>
      </c>
      <c r="M32" s="12">
        <f t="shared" si="0"/>
        <v>-6.9399873241275667E-5</v>
      </c>
      <c r="N32" s="14" t="str">
        <f>_xlfn.XLOOKUP(Table9[[#This Row],[کدشعبه ]],[1]!Table28[کد فروشگاه],[1]!Table28[Column1],"*",0)</f>
        <v>یونس آزادبخت</v>
      </c>
      <c r="O32" s="12">
        <f t="shared" si="1"/>
        <v>3.2523540410781107E-2</v>
      </c>
      <c r="P32" s="12">
        <f t="shared" si="2"/>
        <v>-5.6631680499714399E-3</v>
      </c>
      <c r="Q32" s="15">
        <f>Table9[[#This Row],[تارگت15 مهر]]/Table9[[#This Row],[درصد راکد11مهر]]</f>
        <v>0.8517996794542293</v>
      </c>
    </row>
    <row r="33" spans="1:17" x14ac:dyDescent="0.3">
      <c r="A33" s="8" t="str">
        <f>VLOOKUP(Table9[[#This Row],[نام شعبه ]],[1]دیتا!E:G,3,0)</f>
        <v>علی ابراهیمی نیا</v>
      </c>
      <c r="B33" s="9" t="s">
        <v>79</v>
      </c>
      <c r="C33" s="10" t="s">
        <v>80</v>
      </c>
      <c r="D33" s="11">
        <f>_xlfn.XLOOKUP(Table9[[#This Row],[کدشعبه ]],'[1]60 روزه'!A:A,'[1]60 روزه'!D:D,"*",0)</f>
        <v>1911925003</v>
      </c>
      <c r="E33" s="12">
        <v>1.853900072863501E-2</v>
      </c>
      <c r="F33" s="12">
        <v>1.9599581057142202E-2</v>
      </c>
      <c r="G33" s="12">
        <f>_xlfn.XLOOKUP(Table9[[#This Row],[کدشعبه ]],'[1]60 روزه'!A:A,'[1]60 روزه'!E:E,1)</f>
        <v>2.641183634146177E-2</v>
      </c>
      <c r="H33" s="12">
        <v>2.1276167154930647E-2</v>
      </c>
      <c r="I33" s="12">
        <v>2.2449135758693464E-2</v>
      </c>
      <c r="J33" s="12">
        <v>2.5099826257197481E-2</v>
      </c>
      <c r="K33" s="12">
        <v>2.6236736153985814E-2</v>
      </c>
      <c r="L33" s="13">
        <v>2.641183634146177E-2</v>
      </c>
      <c r="M33" s="12">
        <f t="shared" si="0"/>
        <v>1.7510018747595585E-4</v>
      </c>
      <c r="N33" s="14" t="str">
        <f>_xlfn.XLOOKUP(Table9[[#This Row],[کدشعبه ]],[1]!Table28[کد فروشگاه],[1]!Table28[Column1],"*",0)</f>
        <v>اعظم بهزادوند</v>
      </c>
      <c r="O33" s="12">
        <f t="shared" si="1"/>
        <v>2.2471762215406192E-2</v>
      </c>
      <c r="P33" s="12">
        <f t="shared" si="2"/>
        <v>-2.6280640417912886E-3</v>
      </c>
      <c r="Q33" s="15">
        <f>Table9[[#This Row],[تارگت15 مهر]]/Table9[[#This Row],[درصد راکد11مهر]]</f>
        <v>0.85082165150817712</v>
      </c>
    </row>
    <row r="34" spans="1:17" x14ac:dyDescent="0.3">
      <c r="A34" s="8" t="str">
        <f>VLOOKUP(Table9[[#This Row],[نام شعبه ]],[1]دیتا!E:G,3,0)</f>
        <v>مصطفی سیفی</v>
      </c>
      <c r="B34" s="9" t="s">
        <v>81</v>
      </c>
      <c r="C34" s="10" t="s">
        <v>82</v>
      </c>
      <c r="D34" s="11">
        <f>_xlfn.XLOOKUP(Table9[[#This Row],[کدشعبه ]],'[1]60 روزه'!A:A,'[1]60 روزه'!D:D,"*",0)</f>
        <v>545748292</v>
      </c>
      <c r="E34" s="12">
        <v>8.8821923650920457E-3</v>
      </c>
      <c r="F34" s="12">
        <v>6.4277030179618073E-3</v>
      </c>
      <c r="G34" s="12">
        <f>_xlfn.XLOOKUP(Table9[[#This Row],[کدشعبه ]],'[1]60 روزه'!A:A,'[1]60 روزه'!E:E,1)</f>
        <v>1.0544122371955483E-2</v>
      </c>
      <c r="H34" s="12">
        <v>6.6978490066738183E-3</v>
      </c>
      <c r="I34" s="12">
        <v>9.903386217038259E-3</v>
      </c>
      <c r="J34" s="12">
        <v>7.778689495857651E-3</v>
      </c>
      <c r="K34" s="12">
        <v>1.0092014583283373E-2</v>
      </c>
      <c r="L34" s="13">
        <v>1.0544122371955483E-2</v>
      </c>
      <c r="M34" s="12">
        <f t="shared" si="0"/>
        <v>4.5210778867211046E-4</v>
      </c>
      <c r="N34" s="14" t="str">
        <f>_xlfn.XLOOKUP(Table9[[#This Row],[کدشعبه ]],[1]!Table28[کد فروشگاه],[1]!Table28[Column1],"*",0)</f>
        <v>یحیی داشادی</v>
      </c>
      <c r="O34" s="12">
        <f t="shared" si="1"/>
        <v>8.9252111589047251E-3</v>
      </c>
      <c r="P34" s="12">
        <f t="shared" si="2"/>
        <v>1.146521663047074E-3</v>
      </c>
      <c r="Q34" s="15">
        <f>Table9[[#This Row],[تارگت15 مهر]]/Table9[[#This Row],[درصد راکد11مهر]]</f>
        <v>0.84646316156604706</v>
      </c>
    </row>
    <row r="35" spans="1:17" x14ac:dyDescent="0.3">
      <c r="A35" s="8" t="str">
        <f>VLOOKUP(Table9[[#This Row],[نام شعبه ]],[1]دیتا!E:G,3,0)</f>
        <v>علی ابراهیمی نیا</v>
      </c>
      <c r="B35" s="9" t="s">
        <v>83</v>
      </c>
      <c r="C35" s="10" t="s">
        <v>84</v>
      </c>
      <c r="D35" s="11">
        <f>_xlfn.XLOOKUP(Table9[[#This Row],[کدشعبه ]],'[1]60 روزه'!A:A,'[1]60 روزه'!D:D,"*",0)</f>
        <v>1688165625</v>
      </c>
      <c r="E35" s="12">
        <v>3.4504009284008055E-2</v>
      </c>
      <c r="F35" s="12">
        <v>3.4014995781606286E-2</v>
      </c>
      <c r="G35" s="12">
        <f>_xlfn.XLOOKUP(Table9[[#This Row],[کدشعبه ]],'[1]60 روزه'!A:A,'[1]60 روزه'!E:E,1)</f>
        <v>2.6699341329457012E-2</v>
      </c>
      <c r="H35" s="12">
        <v>2.2160190308401977E-2</v>
      </c>
      <c r="I35" s="12">
        <v>2.4371876144865232E-2</v>
      </c>
      <c r="J35" s="12">
        <v>2.3189729208341173E-2</v>
      </c>
      <c r="K35" s="12">
        <v>2.5968580311572422E-2</v>
      </c>
      <c r="L35" s="13">
        <v>2.6699341329457012E-2</v>
      </c>
      <c r="M35" s="12">
        <f t="shared" si="0"/>
        <v>7.3076101788458955E-4</v>
      </c>
      <c r="N35" s="14" t="str">
        <f>_xlfn.XLOOKUP(Table9[[#This Row],[کدشعبه ]],[1]!Table28[کد فروشگاه],[1]!Table28[Column1],"*",0)</f>
        <v>رضا آزادی باغی</v>
      </c>
      <c r="O35" s="12">
        <f t="shared" si="1"/>
        <v>2.2490120930321246E-2</v>
      </c>
      <c r="P35" s="12">
        <f t="shared" si="2"/>
        <v>-6.9960827801992739E-4</v>
      </c>
      <c r="Q35" s="15">
        <f>Table9[[#This Row],[تارگت15 مهر]]/Table9[[#This Row],[درصد راکد11مهر]]</f>
        <v>0.84234740673202335</v>
      </c>
    </row>
    <row r="36" spans="1:17" x14ac:dyDescent="0.3">
      <c r="A36" s="8" t="str">
        <f>VLOOKUP(Table9[[#This Row],[نام شعبه ]],[1]دیتا!E:G,3,0)</f>
        <v xml:space="preserve">میثم جلالوند </v>
      </c>
      <c r="B36" s="9" t="s">
        <v>85</v>
      </c>
      <c r="C36" s="10" t="s">
        <v>86</v>
      </c>
      <c r="D36" s="11">
        <f>_xlfn.XLOOKUP(Table9[[#This Row],[کدشعبه ]],'[1]60 روزه'!A:A,'[1]60 روزه'!D:D,"*",0)</f>
        <v>1778321336</v>
      </c>
      <c r="E36" s="12">
        <v>2.3199887244546573E-2</v>
      </c>
      <c r="F36" s="12">
        <v>2.223096948905005E-2</v>
      </c>
      <c r="G36" s="12">
        <f>_xlfn.XLOOKUP(Table9[[#This Row],[کدشعبه ]],'[1]60 روزه'!A:A,'[1]60 روزه'!E:E,1)</f>
        <v>2.5462989694561036E-2</v>
      </c>
      <c r="H36" s="12">
        <v>2.320750623959613E-2</v>
      </c>
      <c r="I36" s="12">
        <v>2.4265564241937543E-2</v>
      </c>
      <c r="J36" s="12">
        <v>1.9987073806653426E-2</v>
      </c>
      <c r="K36" s="12">
        <v>2.4425602922967617E-2</v>
      </c>
      <c r="L36" s="13">
        <v>2.5462989694561036E-2</v>
      </c>
      <c r="M36" s="12">
        <f t="shared" si="0"/>
        <v>1.0373867715934189E-3</v>
      </c>
      <c r="N36" s="14" t="str">
        <f>_xlfn.XLOOKUP(Table9[[#This Row],[کدشعبه ]],[1]!Table28[کد فروشگاه],[1]!Table28[Column1],"*",0)</f>
        <v>سعید ذوالفقاری شریفی</v>
      </c>
      <c r="O36" s="12">
        <f t="shared" si="1"/>
        <v>2.1427541851969604E-2</v>
      </c>
      <c r="P36" s="12">
        <f t="shared" si="2"/>
        <v>1.4404680453161782E-3</v>
      </c>
      <c r="Q36" s="15">
        <f>Table9[[#This Row],[تارگت15 مهر]]/Table9[[#This Row],[درصد راکد11مهر]]</f>
        <v>0.84151712383352162</v>
      </c>
    </row>
    <row r="37" spans="1:17" x14ac:dyDescent="0.3">
      <c r="A37" s="8" t="str">
        <f>VLOOKUP(Table9[[#This Row],[نام شعبه ]],[1]دیتا!E:G,3,0)</f>
        <v>سامان بسطامی</v>
      </c>
      <c r="B37" s="9" t="s">
        <v>87</v>
      </c>
      <c r="C37" s="10" t="s">
        <v>88</v>
      </c>
      <c r="D37" s="11">
        <f>_xlfn.XLOOKUP(Table9[[#This Row],[کدشعبه ]],'[1]60 روزه'!A:A,'[1]60 روزه'!D:D,"*",0)</f>
        <v>1863881284</v>
      </c>
      <c r="E37" s="12">
        <v>3.9076398885436008E-2</v>
      </c>
      <c r="F37" s="12">
        <v>3.8474352627726166E-2</v>
      </c>
      <c r="G37" s="12">
        <f>_xlfn.XLOOKUP(Table9[[#This Row],[کدشعبه ]],'[1]60 روزه'!A:A,'[1]60 روزه'!E:E,1)</f>
        <v>3.1594532827985078E-2</v>
      </c>
      <c r="H37" s="12">
        <v>3.4919796343242201E-2</v>
      </c>
      <c r="I37" s="12">
        <v>3.6840147470175395E-2</v>
      </c>
      <c r="J37" s="12">
        <v>3.2687571494762181E-2</v>
      </c>
      <c r="K37" s="12">
        <v>3.1383932833720041E-2</v>
      </c>
      <c r="L37" s="13">
        <v>3.1594532827985078E-2</v>
      </c>
      <c r="M37" s="12">
        <f t="shared" si="0"/>
        <v>2.1059999426503717E-4</v>
      </c>
      <c r="N37" s="14" t="str">
        <f>_xlfn.XLOOKUP(Table9[[#This Row],[کدشعبه ]],[1]!Table28[کد فروشگاه],[1]!Table28[Column1],"*",0)</f>
        <v>هادی عالی پور</v>
      </c>
      <c r="O37" s="12">
        <f t="shared" si="1"/>
        <v>2.6480797109505714E-2</v>
      </c>
      <c r="P37" s="12">
        <f t="shared" si="2"/>
        <v>-6.2067743852564673E-3</v>
      </c>
      <c r="Q37" s="15">
        <f>Table9[[#This Row],[تارگت15 مهر]]/Table9[[#This Row],[درصد راکد11مهر]]</f>
        <v>0.83814491746654862</v>
      </c>
    </row>
    <row r="38" spans="1:17" x14ac:dyDescent="0.3">
      <c r="A38" s="8" t="str">
        <f>VLOOKUP(Table9[[#This Row],[نام شعبه ]],[1]دیتا!E:G,3,0)</f>
        <v>مرتضی رضایی</v>
      </c>
      <c r="B38" s="9" t="s">
        <v>89</v>
      </c>
      <c r="C38" s="10" t="s">
        <v>90</v>
      </c>
      <c r="D38" s="11">
        <f>_xlfn.XLOOKUP(Table9[[#This Row],[کدشعبه ]],'[1]60 روزه'!A:A,'[1]60 روزه'!D:D,"*",0)</f>
        <v>1973317831</v>
      </c>
      <c r="E38" s="12">
        <v>3.1252962669050199E-2</v>
      </c>
      <c r="F38" s="12">
        <v>3.1870178349347272E-2</v>
      </c>
      <c r="G38" s="12">
        <f>_xlfn.XLOOKUP(Table9[[#This Row],[کدشعبه ]],'[1]60 روزه'!A:A,'[1]60 روزه'!E:E,1)</f>
        <v>3.657895085078583E-2</v>
      </c>
      <c r="H38" s="12">
        <v>2.574962508125329E-2</v>
      </c>
      <c r="I38" s="12">
        <v>2.6482202374299262E-2</v>
      </c>
      <c r="J38" s="12">
        <v>2.4684054057945212E-2</v>
      </c>
      <c r="K38" s="12">
        <v>3.433678354230793E-2</v>
      </c>
      <c r="L38" s="13">
        <v>3.657895085078583E-2</v>
      </c>
      <c r="M38" s="12">
        <f t="shared" si="0"/>
        <v>2.2421673084778992E-3</v>
      </c>
      <c r="N38" s="14" t="str">
        <f>_xlfn.XLOOKUP(Table9[[#This Row],[کدشعبه ]],[1]!Table28[کد فروشگاه],[1]!Table28[Column1],"*",0)</f>
        <v>مهتاب تقی پور</v>
      </c>
      <c r="O38" s="12">
        <f t="shared" si="1"/>
        <v>3.063417543361615E-2</v>
      </c>
      <c r="P38" s="12">
        <f t="shared" si="2"/>
        <v>5.950121375670938E-3</v>
      </c>
      <c r="Q38" s="15">
        <f>Table9[[#This Row],[تارگت15 مهر]]/Table9[[#This Row],[درصد راکد11مهر]]</f>
        <v>0.83748097529041166</v>
      </c>
    </row>
    <row r="39" spans="1:17" x14ac:dyDescent="0.3">
      <c r="A39" s="8" t="str">
        <f>VLOOKUP(Table9[[#This Row],[نام شعبه ]],[1]دیتا!E:G,3,0)</f>
        <v>جواد رستمی</v>
      </c>
      <c r="B39" s="9" t="s">
        <v>91</v>
      </c>
      <c r="C39" s="10" t="s">
        <v>92</v>
      </c>
      <c r="D39" s="11">
        <f>_xlfn.XLOOKUP(Table9[[#This Row],[کدشعبه ]],'[1]60 روزه'!A:A,'[1]60 روزه'!D:D,"*",0)</f>
        <v>1668359232</v>
      </c>
      <c r="E39" s="12">
        <v>3.8996429809887954E-2</v>
      </c>
      <c r="F39" s="12">
        <v>3.9821214982741257E-2</v>
      </c>
      <c r="G39" s="12">
        <f>_xlfn.XLOOKUP(Table9[[#This Row],[کدشعبه ]],'[1]60 روزه'!A:A,'[1]60 روزه'!E:E,1)</f>
        <v>2.2111229124782146E-2</v>
      </c>
      <c r="H39" s="12">
        <v>2.7389969055031434E-2</v>
      </c>
      <c r="I39" s="12">
        <v>2.7224031787333167E-2</v>
      </c>
      <c r="J39" s="12">
        <v>2.0954317336351867E-2</v>
      </c>
      <c r="K39" s="12">
        <v>2.1630189078119148E-2</v>
      </c>
      <c r="L39" s="13">
        <v>2.2111229124782146E-2</v>
      </c>
      <c r="M39" s="12">
        <f t="shared" si="0"/>
        <v>4.8104004666299841E-4</v>
      </c>
      <c r="N39" s="14" t="str">
        <f>_xlfn.XLOOKUP(Table9[[#This Row],[کدشعبه ]],[1]!Table28[کد فروشگاه],[1]!Table28[Column1],"*",0)</f>
        <v>فرشید قلیچی</v>
      </c>
      <c r="O39" s="12">
        <f t="shared" si="1"/>
        <v>1.8487041477666367E-2</v>
      </c>
      <c r="P39" s="12">
        <f t="shared" si="2"/>
        <v>-2.4672758586854991E-3</v>
      </c>
      <c r="Q39" s="15">
        <f>Table9[[#This Row],[تارگت15 مهر]]/Table9[[#This Row],[درصد راکد11مهر]]</f>
        <v>0.83609289078128146</v>
      </c>
    </row>
    <row r="40" spans="1:17" x14ac:dyDescent="0.3">
      <c r="A40" s="8" t="str">
        <f>VLOOKUP(Table9[[#This Row],[نام شعبه ]],[1]دیتا!E:G,3,0)</f>
        <v>علی ابراهیمی نیا</v>
      </c>
      <c r="B40" s="9" t="s">
        <v>93</v>
      </c>
      <c r="C40" s="10" t="s">
        <v>94</v>
      </c>
      <c r="D40" s="11">
        <f>_xlfn.XLOOKUP(Table9[[#This Row],[کدشعبه ]],'[1]60 روزه'!A:A,'[1]60 روزه'!D:D,"*",0)</f>
        <v>653294749</v>
      </c>
      <c r="E40" s="12">
        <v>9.394018042529503E-3</v>
      </c>
      <c r="F40" s="12">
        <v>9.62855317E-3</v>
      </c>
      <c r="G40" s="12">
        <f>_xlfn.XLOOKUP(Table9[[#This Row],[کدشعبه ]],'[1]60 روزه'!A:A,'[1]60 روزه'!E:E,1)</f>
        <v>1.0508803323616525E-2</v>
      </c>
      <c r="H40" s="12">
        <v>1.5324051716057033E-2</v>
      </c>
      <c r="I40" s="12">
        <v>1.6567690019367868E-2</v>
      </c>
      <c r="J40" s="12">
        <v>1.4876032191588111E-2</v>
      </c>
      <c r="K40" s="12">
        <v>1.1000099868334308E-2</v>
      </c>
      <c r="L40" s="13">
        <v>1.0508803323616525E-2</v>
      </c>
      <c r="M40" s="12">
        <f t="shared" si="0"/>
        <v>-4.9129654471778347E-4</v>
      </c>
      <c r="N40" s="14" t="str">
        <f>_xlfn.XLOOKUP(Table9[[#This Row],[کدشعبه ]],[1]!Table28[کد فروشگاه],[1]!Table28[Column1],"*",0)</f>
        <v>سید وحید موسوی</v>
      </c>
      <c r="O40" s="12">
        <f t="shared" si="1"/>
        <v>8.768695039596092E-3</v>
      </c>
      <c r="P40" s="12">
        <f t="shared" si="2"/>
        <v>-6.1073371519920188E-3</v>
      </c>
      <c r="Q40" s="15">
        <f>Table9[[#This Row],[تارگت15 مهر]]/Table9[[#This Row],[درصد راکد11مهر]]</f>
        <v>0.83441423058038655</v>
      </c>
    </row>
    <row r="41" spans="1:17" x14ac:dyDescent="0.3">
      <c r="A41" s="8" t="str">
        <f>VLOOKUP(Table9[[#This Row],[نام شعبه ]],[1]دیتا!E:G,3,0)</f>
        <v>مرتضی رضایی</v>
      </c>
      <c r="B41" s="9" t="s">
        <v>95</v>
      </c>
      <c r="C41" s="10" t="s">
        <v>96</v>
      </c>
      <c r="D41" s="11">
        <f>_xlfn.XLOOKUP(Table9[[#This Row],[کدشعبه ]],'[1]60 روزه'!A:A,'[1]60 روزه'!D:D,"*",0)</f>
        <v>1236354443</v>
      </c>
      <c r="E41" s="12">
        <v>4.9668239576125234E-2</v>
      </c>
      <c r="F41" s="12">
        <v>5.2552494914233083E-2</v>
      </c>
      <c r="G41" s="12">
        <f>_xlfn.XLOOKUP(Table9[[#This Row],[کدشعبه ]],'[1]60 روزه'!A:A,'[1]60 روزه'!E:E,1)</f>
        <v>3.1258759640485322E-2</v>
      </c>
      <c r="H41" s="12">
        <v>4.4985050707309307E-2</v>
      </c>
      <c r="I41" s="12">
        <v>4.208667028576292E-2</v>
      </c>
      <c r="J41" s="12">
        <v>5.0937982019152853E-2</v>
      </c>
      <c r="K41" s="12">
        <v>3.3596146137826195E-2</v>
      </c>
      <c r="L41" s="13">
        <v>3.1258759640485322E-2</v>
      </c>
      <c r="M41" s="12">
        <f t="shared" si="0"/>
        <v>-2.3373864973408737E-3</v>
      </c>
      <c r="N41" s="14" t="str">
        <f>_xlfn.XLOOKUP(Table9[[#This Row],[کدشعبه ]],[1]!Table28[کد فروشگاه],[1]!Table28[Column1],"*",0)</f>
        <v>آيدا احمدي چگني</v>
      </c>
      <c r="O41" s="12">
        <f t="shared" si="1"/>
        <v>2.5955448834953269E-2</v>
      </c>
      <c r="P41" s="12">
        <f t="shared" si="2"/>
        <v>-2.4982533184199584E-2</v>
      </c>
      <c r="Q41" s="15">
        <f>Table9[[#This Row],[تارگت15 مهر]]/Table9[[#This Row],[درصد راکد11مهر]]</f>
        <v>0.83034161091077396</v>
      </c>
    </row>
    <row r="42" spans="1:17" x14ac:dyDescent="0.3">
      <c r="A42" s="8" t="str">
        <f>VLOOKUP(Table9[[#This Row],[نام شعبه ]],[1]دیتا!E:G,3,0)</f>
        <v>مصطفی سیفی</v>
      </c>
      <c r="B42" s="9" t="s">
        <v>97</v>
      </c>
      <c r="C42" s="10" t="s">
        <v>98</v>
      </c>
      <c r="D42" s="11">
        <f>_xlfn.XLOOKUP(Table9[[#This Row],[کدشعبه ]],'[1]60 روزه'!A:A,'[1]60 روزه'!D:D,"*",0)</f>
        <v>2174171742</v>
      </c>
      <c r="E42" s="12">
        <v>5.4738091247616909E-2</v>
      </c>
      <c r="F42" s="12">
        <v>5.7161063830163464E-2</v>
      </c>
      <c r="G42" s="12">
        <f>_xlfn.XLOOKUP(Table9[[#This Row],[کدشعبه ]],'[1]60 روزه'!A:A,'[1]60 روزه'!E:E,1)</f>
        <v>4.6283594815703988E-2</v>
      </c>
      <c r="H42" s="12">
        <v>6.4216736884779996E-2</v>
      </c>
      <c r="I42" s="12">
        <v>6.7440706719383833E-2</v>
      </c>
      <c r="J42" s="12">
        <v>4.7696117211930254E-2</v>
      </c>
      <c r="K42" s="12">
        <v>4.5119947962245041E-2</v>
      </c>
      <c r="L42" s="13">
        <v>4.6283594815703988E-2</v>
      </c>
      <c r="M42" s="12">
        <f t="shared" si="0"/>
        <v>1.1636468534589467E-3</v>
      </c>
      <c r="N42" s="14" t="str">
        <f>_xlfn.XLOOKUP(Table9[[#This Row],[کدشعبه ]],[1]!Table28[کد فروشگاه],[1]!Table28[Column1],"*",0)</f>
        <v>حسین جمالی فرد</v>
      </c>
      <c r="O42" s="12">
        <f t="shared" si="1"/>
        <v>3.7965530380455505E-2</v>
      </c>
      <c r="P42" s="12">
        <f t="shared" si="2"/>
        <v>-9.7305868314747496E-3</v>
      </c>
      <c r="Q42" s="15">
        <f>Table9[[#This Row],[تارگت15 مهر]]/Table9[[#This Row],[درصد راکد11مهر]]</f>
        <v>0.8202805017983138</v>
      </c>
    </row>
    <row r="43" spans="1:17" x14ac:dyDescent="0.3">
      <c r="A43" s="8" t="str">
        <f>VLOOKUP(Table9[[#This Row],[نام شعبه ]],[1]دیتا!E:G,3,0)</f>
        <v>جواد رستمی</v>
      </c>
      <c r="B43" s="9" t="s">
        <v>99</v>
      </c>
      <c r="C43" s="10" t="s">
        <v>100</v>
      </c>
      <c r="D43" s="11">
        <f>_xlfn.XLOOKUP(Table9[[#This Row],[کدشعبه ]],'[1]60 روزه'!A:A,'[1]60 روزه'!D:D,"*",0)</f>
        <v>1412852379</v>
      </c>
      <c r="E43" s="12">
        <v>2.8713941007306731E-2</v>
      </c>
      <c r="F43" s="12">
        <v>2.9669130351979631E-2</v>
      </c>
      <c r="G43" s="12">
        <f>_xlfn.XLOOKUP(Table9[[#This Row],[کدشعبه ]],'[1]60 روزه'!A:A,'[1]60 روزه'!E:E,1)</f>
        <v>2.9880122465501056E-2</v>
      </c>
      <c r="H43" s="12">
        <v>2.6725673611818237E-2</v>
      </c>
      <c r="I43" s="12">
        <v>2.3979075495154139E-2</v>
      </c>
      <c r="J43" s="12">
        <v>3.3406349159980017E-2</v>
      </c>
      <c r="K43" s="12">
        <v>2.9433430950646124E-2</v>
      </c>
      <c r="L43" s="13">
        <v>2.9880122465501056E-2</v>
      </c>
      <c r="M43" s="12">
        <f t="shared" si="0"/>
        <v>4.4669151485493205E-4</v>
      </c>
      <c r="N43" s="14" t="str">
        <f>_xlfn.XLOOKUP(Table9[[#This Row],[کدشعبه ]],[1]!Table28[کد فروشگاه],[1]!Table28[Column1],"*",0)</f>
        <v>سمیرا گنجی فر</v>
      </c>
      <c r="O43" s="12">
        <f t="shared" si="1"/>
        <v>2.4422478576649122E-2</v>
      </c>
      <c r="P43" s="12">
        <f t="shared" si="2"/>
        <v>-8.9838705833308954E-3</v>
      </c>
      <c r="Q43" s="15">
        <f>Table9[[#This Row],[تارگت15 مهر]]/Table9[[#This Row],[درصد راکد11مهر]]</f>
        <v>0.81734867736391603</v>
      </c>
    </row>
    <row r="44" spans="1:17" x14ac:dyDescent="0.3">
      <c r="A44" s="8" t="str">
        <f>VLOOKUP(Table9[[#This Row],[نام شعبه ]],[1]دیتا!E:G,3,0)</f>
        <v>مصطفی سیفی</v>
      </c>
      <c r="B44" s="9" t="s">
        <v>101</v>
      </c>
      <c r="C44" s="10" t="s">
        <v>102</v>
      </c>
      <c r="D44" s="11">
        <f>_xlfn.XLOOKUP(Table9[[#This Row],[کدشعبه ]],'[1]60 روزه'!A:A,'[1]60 روزه'!D:D,"*",0)</f>
        <v>1695865150</v>
      </c>
      <c r="E44" s="12">
        <v>5.8498637663225266E-2</v>
      </c>
      <c r="F44" s="12">
        <v>6.1536193269702277E-2</v>
      </c>
      <c r="G44" s="12">
        <f>_xlfn.XLOOKUP(Table9[[#This Row],[کدشعبه ]],'[1]60 روزه'!A:A,'[1]60 روزه'!E:E,1)</f>
        <v>4.2718098673559163E-2</v>
      </c>
      <c r="H44" s="12">
        <v>5.2643938433221966E-2</v>
      </c>
      <c r="I44" s="12">
        <v>5.8972694571794389E-2</v>
      </c>
      <c r="J44" s="12">
        <v>4.635068792870993E-2</v>
      </c>
      <c r="K44" s="12">
        <v>4.1391197578776302E-2</v>
      </c>
      <c r="L44" s="13">
        <v>4.2718098673559163E-2</v>
      </c>
      <c r="M44" s="12">
        <f t="shared" si="0"/>
        <v>1.3269010947828605E-3</v>
      </c>
      <c r="N44" s="14" t="str">
        <f>_xlfn.XLOOKUP(Table9[[#This Row],[کدشعبه ]],[1]!Table28[کد فروشگاه],[1]!Table28[Column1],"*",0)</f>
        <v>علیرضا موسی زاده</v>
      </c>
      <c r="O44" s="12">
        <f t="shared" si="1"/>
        <v>3.4438594389469813E-2</v>
      </c>
      <c r="P44" s="12">
        <f t="shared" si="2"/>
        <v>-1.1912093539240116E-2</v>
      </c>
      <c r="Q44" s="15">
        <f>Table9[[#This Row],[تارگت15 مهر]]/Table9[[#This Row],[درصد راکد11مهر]]</f>
        <v>0.80618275295070563</v>
      </c>
    </row>
    <row r="45" spans="1:17" x14ac:dyDescent="0.3">
      <c r="A45" s="8" t="str">
        <f>VLOOKUP(Table9[[#This Row],[نام شعبه ]],[1]دیتا!E:G,3,0)</f>
        <v xml:space="preserve">فیاض رحیم زاده </v>
      </c>
      <c r="B45" s="9" t="s">
        <v>103</v>
      </c>
      <c r="C45" s="10" t="s">
        <v>104</v>
      </c>
      <c r="D45" s="11">
        <f>_xlfn.XLOOKUP(Table9[[#This Row],[کدشعبه ]],'[1]60 روزه'!A:A,'[1]60 روزه'!D:D,"*",0)</f>
        <v>728418890</v>
      </c>
      <c r="E45" s="12">
        <v>1.2768129288037867E-2</v>
      </c>
      <c r="F45" s="12">
        <v>1.0747070913713958E-2</v>
      </c>
      <c r="G45" s="12">
        <f>_xlfn.XLOOKUP(Table9[[#This Row],[کدشعبه ]],'[1]60 روزه'!A:A,'[1]60 روزه'!E:E,1)</f>
        <v>1.2526008868355037E-2</v>
      </c>
      <c r="H45" s="12">
        <v>1.2750345452762194E-2</v>
      </c>
      <c r="I45" s="12">
        <v>1.077579712470483E-2</v>
      </c>
      <c r="J45" s="12">
        <v>1.3768890702406516E-2</v>
      </c>
      <c r="K45" s="12">
        <v>1.2150031250758355E-2</v>
      </c>
      <c r="L45" s="13">
        <v>1.2526008868355037E-2</v>
      </c>
      <c r="M45" s="12">
        <f t="shared" si="0"/>
        <v>3.7597761759668169E-4</v>
      </c>
      <c r="N45" s="14" t="str">
        <f>_xlfn.XLOOKUP(Table9[[#This Row],[کدشعبه ]],[1]!Table28[کد فروشگاه],[1]!Table28[Column1],"*",0)</f>
        <v>حسين هاشمي فرد</v>
      </c>
      <c r="O45" s="12">
        <f t="shared" si="1"/>
        <v>1.0084697645397378E-2</v>
      </c>
      <c r="P45" s="12">
        <f t="shared" si="2"/>
        <v>-3.6841930570091375E-3</v>
      </c>
      <c r="Q45" s="15">
        <f>Table9[[#This Row],[تارگت15 مهر]]/Table9[[#This Row],[درصد راکد11مهر]]</f>
        <v>0.80510063112559005</v>
      </c>
    </row>
    <row r="46" spans="1:17" x14ac:dyDescent="0.3">
      <c r="A46" s="8" t="str">
        <f>VLOOKUP(Table9[[#This Row],[نام شعبه ]],[1]دیتا!E:G,3,0)</f>
        <v>محمد کاظم بستامی</v>
      </c>
      <c r="B46" s="9" t="s">
        <v>105</v>
      </c>
      <c r="C46" s="10" t="s">
        <v>106</v>
      </c>
      <c r="D46" s="11">
        <f>_xlfn.XLOOKUP(Table9[[#This Row],[کدشعبه ]],'[1]60 روزه'!A:A,'[1]60 روزه'!D:D,"*",0)</f>
        <v>2363471432</v>
      </c>
      <c r="E46" s="12">
        <v>4.6236656457048456E-2</v>
      </c>
      <c r="F46" s="12">
        <v>5.0181283648467155E-2</v>
      </c>
      <c r="G46" s="12">
        <f>_xlfn.XLOOKUP(Table9[[#This Row],[کدشعبه ]],'[1]60 روزه'!A:A,'[1]60 روزه'!E:E,1)</f>
        <v>4.4665345273511362E-2</v>
      </c>
      <c r="H46" s="12">
        <v>5.5343094482198596E-2</v>
      </c>
      <c r="I46" s="12">
        <v>6.0829727622773187E-2</v>
      </c>
      <c r="J46" s="12">
        <v>6.5519471144845548E-2</v>
      </c>
      <c r="K46" s="12">
        <v>4.5636579008160018E-2</v>
      </c>
      <c r="L46" s="13">
        <v>4.4665345273511362E-2</v>
      </c>
      <c r="M46" s="12">
        <f t="shared" si="0"/>
        <v>-9.7123373464865631E-4</v>
      </c>
      <c r="N46" s="14" t="str">
        <f>_xlfn.XLOOKUP(Table9[[#This Row],[کدشعبه ]],[1]!Table28[کد فروشگاه],[1]!Table28[Column1],"*",0)</f>
        <v>فاطمه حاجری</v>
      </c>
      <c r="O46" s="12">
        <f t="shared" si="1"/>
        <v>3.5808658336433187E-2</v>
      </c>
      <c r="P46" s="12">
        <f t="shared" si="2"/>
        <v>-2.9710812808412361E-2</v>
      </c>
      <c r="Q46" s="15">
        <f>Table9[[#This Row],[تارگت15 مهر]]/Table9[[#This Row],[درصد راکد11مهر]]</f>
        <v>0.80171009800005721</v>
      </c>
    </row>
    <row r="47" spans="1:17" x14ac:dyDescent="0.3">
      <c r="A47" s="8" t="str">
        <f>VLOOKUP(Table9[[#This Row],[نام شعبه ]],[1]دیتا!E:G,3,0)</f>
        <v xml:space="preserve">میثم جلالوند </v>
      </c>
      <c r="B47" s="9" t="s">
        <v>107</v>
      </c>
      <c r="C47" s="10" t="s">
        <v>108</v>
      </c>
      <c r="D47" s="11">
        <f>_xlfn.XLOOKUP(Table9[[#This Row],[کدشعبه ]],'[1]60 روزه'!A:A,'[1]60 روزه'!D:D,"*",0)</f>
        <v>726764219</v>
      </c>
      <c r="E47" s="12">
        <v>1.1866152662635349E-2</v>
      </c>
      <c r="F47" s="12">
        <v>1.2850142366161872E-2</v>
      </c>
      <c r="G47" s="12">
        <f>_xlfn.XLOOKUP(Table9[[#This Row],[کدشعبه ]],'[1]60 روزه'!A:A,'[1]60 روزه'!E:E,1)</f>
        <v>1.3164743007734273E-2</v>
      </c>
      <c r="H47" s="12">
        <v>1.3419955160964994E-2</v>
      </c>
      <c r="I47" s="12">
        <v>1.1206825170536441E-2</v>
      </c>
      <c r="J47" s="12">
        <v>1.2728160431329977E-2</v>
      </c>
      <c r="K47" s="12">
        <v>1.2460616752957614E-2</v>
      </c>
      <c r="L47" s="13">
        <v>1.3164743007734273E-2</v>
      </c>
      <c r="M47" s="12">
        <f t="shared" si="0"/>
        <v>7.041262547766592E-4</v>
      </c>
      <c r="N47" s="14" t="str">
        <f>_xlfn.XLOOKUP(Table9[[#This Row],[کدشعبه ]],[1]!Table28[کد فروشگاه],[1]!Table28[Column1],"*",0)</f>
        <v>زهرا جعفری مفرد</v>
      </c>
      <c r="O47" s="12">
        <f t="shared" si="1"/>
        <v>1.0551392688258117E-2</v>
      </c>
      <c r="P47" s="12">
        <f t="shared" si="2"/>
        <v>-2.1767677430718606E-3</v>
      </c>
      <c r="Q47" s="15">
        <f>Table9[[#This Row],[تارگت15 مهر]]/Table9[[#This Row],[درصد راکد11مهر]]</f>
        <v>0.80148869461858729</v>
      </c>
    </row>
    <row r="48" spans="1:17" x14ac:dyDescent="0.3">
      <c r="A48" s="8" t="str">
        <f>VLOOKUP(Table9[[#This Row],[نام شعبه ]],[1]دیتا!E:G,3,0)</f>
        <v>مرتضی رضایی</v>
      </c>
      <c r="B48" s="9" t="s">
        <v>109</v>
      </c>
      <c r="C48" s="10" t="s">
        <v>110</v>
      </c>
      <c r="D48" s="11">
        <f>_xlfn.XLOOKUP(Table9[[#This Row],[کدشعبه ]],'[1]60 روزه'!A:A,'[1]60 روزه'!D:D,"*",0)</f>
        <v>270416000</v>
      </c>
      <c r="E48" s="12">
        <v>5.7639073345330622E-3</v>
      </c>
      <c r="F48" s="12">
        <v>6.4351761871552157E-3</v>
      </c>
      <c r="G48" s="12">
        <f>_xlfn.XLOOKUP(Table9[[#This Row],[کدشعبه ]],'[1]60 روزه'!A:A,'[1]60 روزه'!E:E,1)</f>
        <v>7.5826054286262439E-3</v>
      </c>
      <c r="H48" s="12">
        <v>2.0619178537108268E-3</v>
      </c>
      <c r="I48" s="12">
        <v>4.4409306796008678E-3</v>
      </c>
      <c r="J48" s="12">
        <v>6.5560070450994519E-3</v>
      </c>
      <c r="K48" s="12">
        <v>7.0423632956180112E-3</v>
      </c>
      <c r="L48" s="13">
        <v>7.5826054286262439E-3</v>
      </c>
      <c r="M48" s="12">
        <f t="shared" si="0"/>
        <v>5.4024213300823271E-4</v>
      </c>
      <c r="N48" s="14" t="str">
        <f>_xlfn.XLOOKUP(Table9[[#This Row],[کدشعبه ]],[1]!Table28[کد فروشگاه],[1]!Table28[Column1],"*",0)</f>
        <v>وحید جودکی</v>
      </c>
      <c r="O48" s="12">
        <f t="shared" si="1"/>
        <v>6.0589622388530938E-3</v>
      </c>
      <c r="P48" s="12">
        <f t="shared" si="2"/>
        <v>-4.9704480624635818E-4</v>
      </c>
      <c r="Q48" s="15">
        <f>Table9[[#This Row],[تارگت15 مهر]]/Table9[[#This Row],[درصد راکد11مهر]]</f>
        <v>0.79906073128623922</v>
      </c>
    </row>
    <row r="49" spans="1:17" x14ac:dyDescent="0.3">
      <c r="A49" s="8" t="str">
        <f>VLOOKUP(Table9[[#This Row],[نام شعبه ]],[1]دیتا!E:G,3,0)</f>
        <v>جواد رستمی</v>
      </c>
      <c r="B49" s="9" t="s">
        <v>111</v>
      </c>
      <c r="C49" s="10" t="s">
        <v>112</v>
      </c>
      <c r="D49" s="11">
        <f>_xlfn.XLOOKUP(Table9[[#This Row],[کدشعبه ]],'[1]60 روزه'!A:A,'[1]60 روزه'!D:D,"*",0)</f>
        <v>2959541644</v>
      </c>
      <c r="E49" s="12">
        <v>5.7333520276148464E-2</v>
      </c>
      <c r="F49" s="12">
        <v>6.7603875770217606E-2</v>
      </c>
      <c r="G49" s="12">
        <f>_xlfn.XLOOKUP(Table9[[#This Row],[کدشعبه ]],'[1]60 روزه'!A:A,'[1]60 روزه'!E:E,1)</f>
        <v>5.3942366563411726E-2</v>
      </c>
      <c r="H49" s="12">
        <v>7.6016361486700934E-2</v>
      </c>
      <c r="I49" s="12">
        <v>7.8263119374700985E-2</v>
      </c>
      <c r="J49" s="12">
        <v>6.6547903730353797E-2</v>
      </c>
      <c r="K49" s="12">
        <v>5.2166846189157137E-2</v>
      </c>
      <c r="L49" s="13">
        <v>5.3942366563411726E-2</v>
      </c>
      <c r="M49" s="12">
        <f t="shared" si="0"/>
        <v>1.7755203742545883E-3</v>
      </c>
      <c r="N49" s="14" t="str">
        <f>_xlfn.XLOOKUP(Table9[[#This Row],[کدشعبه ]],[1]!Table28[کد فروشگاه],[1]!Table28[Column1],"*",0)</f>
        <v xml:space="preserve">متین ضروئنی </v>
      </c>
      <c r="O49" s="12">
        <f t="shared" si="1"/>
        <v>4.2184660629604069E-2</v>
      </c>
      <c r="P49" s="12">
        <f t="shared" si="2"/>
        <v>-2.4363243100749728E-2</v>
      </c>
      <c r="Q49" s="15">
        <f>Table9[[#This Row],[تارگت15 مهر]]/Table9[[#This Row],[درصد راکد11مهر]]</f>
        <v>0.78203207084016357</v>
      </c>
    </row>
    <row r="50" spans="1:17" x14ac:dyDescent="0.3">
      <c r="A50" s="8" t="str">
        <f>VLOOKUP(Table9[[#This Row],[نام شعبه ]],[1]دیتا!E:G,3,0)</f>
        <v>محسن ملکی</v>
      </c>
      <c r="B50" s="9" t="s">
        <v>113</v>
      </c>
      <c r="C50" s="10" t="s">
        <v>114</v>
      </c>
      <c r="D50" s="11">
        <f>_xlfn.XLOOKUP(Table9[[#This Row],[کدشعبه ]],'[1]60 روزه'!A:A,'[1]60 روزه'!D:D,"*",0)</f>
        <v>1436232012</v>
      </c>
      <c r="E50" s="12">
        <v>1.8631890578211067E-2</v>
      </c>
      <c r="F50" s="12">
        <v>2.2329385720259463E-2</v>
      </c>
      <c r="G50" s="12">
        <f>_xlfn.XLOOKUP(Table9[[#This Row],[کدشعبه ]],'[1]60 روزه'!A:A,'[1]60 روزه'!E:E,1)</f>
        <v>2.7022149060532047E-2</v>
      </c>
      <c r="H50" s="12">
        <v>2.2417081333993425E-2</v>
      </c>
      <c r="I50" s="12">
        <v>2.4161888685799306E-2</v>
      </c>
      <c r="J50" s="12">
        <v>3.9613375011126828E-2</v>
      </c>
      <c r="K50" s="12">
        <v>2.7035005335695909E-2</v>
      </c>
      <c r="L50" s="13">
        <v>2.7022149060532047E-2</v>
      </c>
      <c r="M50" s="12">
        <f t="shared" si="0"/>
        <v>-1.2856275163862507E-5</v>
      </c>
      <c r="N50" s="14" t="str">
        <f>_xlfn.XLOOKUP(Table9[[#This Row],[کدشعبه ]],[1]!Table28[کد فروشگاه],[1]!Table28[Column1],"*",0)</f>
        <v>صبا حسنوند</v>
      </c>
      <c r="O50" s="12">
        <f t="shared" si="1"/>
        <v>2.1092999084026884E-2</v>
      </c>
      <c r="P50" s="12">
        <f t="shared" si="2"/>
        <v>-1.8520375927099944E-2</v>
      </c>
      <c r="Q50" s="15">
        <f>Table9[[#This Row],[تارگت15 مهر]]/Table9[[#This Row],[درصد راکد11مهر]]</f>
        <v>0.78058184923695995</v>
      </c>
    </row>
    <row r="51" spans="1:17" x14ac:dyDescent="0.3">
      <c r="A51" s="8" t="str">
        <f>VLOOKUP(Table9[[#This Row],[نام شعبه ]],[1]دیتا!E:G,3,0)</f>
        <v>محمد کاظم بستامی</v>
      </c>
      <c r="B51" s="9" t="s">
        <v>115</v>
      </c>
      <c r="C51" s="10" t="s">
        <v>116</v>
      </c>
      <c r="D51" s="11">
        <f>_xlfn.XLOOKUP(Table9[[#This Row],[کدشعبه ]],'[1]60 روزه'!A:A,'[1]60 روزه'!D:D,"*",0)</f>
        <v>4281916797</v>
      </c>
      <c r="E51" s="12">
        <v>6.9771852300155882E-2</v>
      </c>
      <c r="F51" s="12">
        <v>7.0612593177831987E-2</v>
      </c>
      <c r="G51" s="12">
        <f>_xlfn.XLOOKUP(Table9[[#This Row],[کدشعبه ]],'[1]60 روزه'!A:A,'[1]60 روزه'!E:E,1)</f>
        <v>7.7425264953577419E-2</v>
      </c>
      <c r="H51" s="12">
        <v>6.9982370859646051E-2</v>
      </c>
      <c r="I51" s="12">
        <v>6.4692601818579748E-2</v>
      </c>
      <c r="J51" s="12">
        <v>7.0137517803396526E-2</v>
      </c>
      <c r="K51" s="12">
        <v>7.0275081338641049E-2</v>
      </c>
      <c r="L51" s="13">
        <v>7.7425264953577419E-2</v>
      </c>
      <c r="M51" s="12">
        <f t="shared" si="0"/>
        <v>7.1501836149363701E-3</v>
      </c>
      <c r="N51" s="14" t="str">
        <f>_xlfn.XLOOKUP(Table9[[#This Row],[کدشعبه ]],[1]!Table28[کد فروشگاه],[1]!Table28[Column1],"*",0)</f>
        <v>حسین نوری</v>
      </c>
      <c r="O51" s="12">
        <f t="shared" si="1"/>
        <v>5.975445366813157E-2</v>
      </c>
      <c r="P51" s="12">
        <f t="shared" si="2"/>
        <v>-1.0383064135264956E-2</v>
      </c>
      <c r="Q51" s="15">
        <f>Table9[[#This Row],[تارگت15 مهر]]/Table9[[#This Row],[درصد راکد11مهر]]</f>
        <v>0.77176944378503709</v>
      </c>
    </row>
    <row r="52" spans="1:17" x14ac:dyDescent="0.3">
      <c r="A52" s="8" t="str">
        <f>VLOOKUP(Table9[[#This Row],[نام شعبه ]],[1]دیتا!E:G,3,0)</f>
        <v>محمد شاکری</v>
      </c>
      <c r="B52" s="9" t="s">
        <v>117</v>
      </c>
      <c r="C52" s="10" t="s">
        <v>118</v>
      </c>
      <c r="D52" s="11">
        <f>_xlfn.XLOOKUP(Table9[[#This Row],[کدشعبه ]],'[1]60 روزه'!A:A,'[1]60 روزه'!D:D,"*",0)</f>
        <v>1174766000</v>
      </c>
      <c r="E52" s="12">
        <v>1.4432329952860421E-2</v>
      </c>
      <c r="F52" s="12">
        <v>1.5407752305215636E-2</v>
      </c>
      <c r="G52" s="12">
        <f>_xlfn.XLOOKUP(Table9[[#This Row],[کدشعبه ]],'[1]60 روزه'!A:A,'[1]60 روزه'!E:E,1)</f>
        <v>2.4575663908738648E-2</v>
      </c>
      <c r="H52" s="12">
        <v>1.3694155928330294E-2</v>
      </c>
      <c r="I52" s="12">
        <v>1.6511997174027172E-2</v>
      </c>
      <c r="J52" s="12">
        <v>2.3447690526942386E-2</v>
      </c>
      <c r="K52" s="12">
        <v>2.2316955478631925E-2</v>
      </c>
      <c r="L52" s="13">
        <v>2.4575663908738648E-2</v>
      </c>
      <c r="M52" s="12">
        <f t="shared" si="0"/>
        <v>2.2587084301067227E-3</v>
      </c>
      <c r="N52" s="14" t="str">
        <f>_xlfn.XLOOKUP(Table9[[#This Row],[کدشعبه ]],[1]!Table28[کد فروشگاه],[1]!Table28[Column1],"*",0)</f>
        <v>رضا محمودوندی</v>
      </c>
      <c r="O52" s="12">
        <f t="shared" si="1"/>
        <v>1.8799801899590567E-2</v>
      </c>
      <c r="P52" s="12">
        <f t="shared" si="2"/>
        <v>-4.6478886273518191E-3</v>
      </c>
      <c r="Q52" s="15">
        <f>Table9[[#This Row],[تارگت15 مهر]]/Table9[[#This Row],[درصد راکد11مهر]]</f>
        <v>0.76497635910888684</v>
      </c>
    </row>
    <row r="53" spans="1:17" x14ac:dyDescent="0.3">
      <c r="A53" s="8" t="str">
        <f>VLOOKUP(Table9[[#This Row],[نام شعبه ]],[1]دیتا!E:G,3,0)</f>
        <v>محمد شاکری</v>
      </c>
      <c r="B53" s="9" t="s">
        <v>119</v>
      </c>
      <c r="C53" s="10" t="s">
        <v>120</v>
      </c>
      <c r="D53" s="11">
        <f>_xlfn.XLOOKUP(Table9[[#This Row],[کدشعبه ]],'[1]60 روزه'!A:A,'[1]60 روزه'!D:D,"*",0)</f>
        <v>475375872</v>
      </c>
      <c r="E53" s="12">
        <v>1.3478232132830148E-2</v>
      </c>
      <c r="F53" s="12">
        <v>1.0424515571447248E-2</v>
      </c>
      <c r="G53" s="12">
        <f>_xlfn.XLOOKUP(Table9[[#This Row],[کدشعبه ]],'[1]60 روزه'!A:A,'[1]60 روزه'!E:E,1)</f>
        <v>8.3408966873802261E-3</v>
      </c>
      <c r="H53" s="12">
        <v>1.0500628795156185E-2</v>
      </c>
      <c r="I53" s="12">
        <v>1.141904564144201E-2</v>
      </c>
      <c r="J53" s="12">
        <v>1.4094946013977655E-2</v>
      </c>
      <c r="K53" s="12">
        <v>8.468975016907675E-3</v>
      </c>
      <c r="L53" s="13">
        <v>8.3408966873802261E-3</v>
      </c>
      <c r="M53" s="12">
        <f t="shared" si="0"/>
        <v>-1.2807832952744895E-4</v>
      </c>
      <c r="N53" s="14" t="str">
        <f>_xlfn.XLOOKUP(Table9[[#This Row],[کدشعبه ]],[1]!Table28[کد فروشگاه],[1]!Table28[Column1],"*",0)</f>
        <v>فاطمه محمدی فر</v>
      </c>
      <c r="O53" s="12">
        <f t="shared" si="1"/>
        <v>6.3547331148110266E-3</v>
      </c>
      <c r="P53" s="12">
        <f t="shared" si="2"/>
        <v>-7.7402128991666281E-3</v>
      </c>
      <c r="Q53" s="15">
        <f>Table9[[#This Row],[تارگت15 مهر]]/Table9[[#This Row],[درصد راکد11مهر]]</f>
        <v>0.76187649277873637</v>
      </c>
    </row>
    <row r="54" spans="1:17" x14ac:dyDescent="0.3">
      <c r="A54" s="8" t="str">
        <f>VLOOKUP(Table9[[#This Row],[نام شعبه ]],[1]دیتا!E:G,3,0)</f>
        <v>سامان بسطامی</v>
      </c>
      <c r="B54" s="9" t="s">
        <v>121</v>
      </c>
      <c r="C54" s="10" t="s">
        <v>122</v>
      </c>
      <c r="D54" s="11">
        <f>_xlfn.XLOOKUP(Table9[[#This Row],[کدشعبه ]],'[1]60 روزه'!A:A,'[1]60 روزه'!D:D,"*",0)</f>
        <v>655120987</v>
      </c>
      <c r="E54" s="12">
        <v>7.9913618717905779E-3</v>
      </c>
      <c r="F54" s="12">
        <v>7.8415624806859943E-3</v>
      </c>
      <c r="G54" s="12">
        <f>_xlfn.XLOOKUP(Table9[[#This Row],[کدشعبه ]],'[1]60 روزه'!A:A,'[1]60 روزه'!E:E,1)</f>
        <v>1.3306985438846916E-2</v>
      </c>
      <c r="H54" s="12">
        <v>6.6359475222890979E-3</v>
      </c>
      <c r="I54" s="12">
        <v>7.3080507169524973E-3</v>
      </c>
      <c r="J54" s="12">
        <v>6.1404199503702446E-3</v>
      </c>
      <c r="K54" s="12">
        <v>1.0986777564069511E-2</v>
      </c>
      <c r="L54" s="13">
        <v>1.3306985438846916E-2</v>
      </c>
      <c r="M54" s="12">
        <f t="shared" si="0"/>
        <v>2.3202078747774045E-3</v>
      </c>
      <c r="N54" s="14" t="str">
        <f>_xlfn.XLOOKUP(Table9[[#This Row],[کدشعبه ]],[1]!Table28[کد فروشگاه],[1]!Table28[Column1],"*",0)</f>
        <v>مهدی ابدالی</v>
      </c>
      <c r="O54" s="12">
        <f t="shared" si="1"/>
        <v>1.0065714571513975E-2</v>
      </c>
      <c r="P54" s="12">
        <f t="shared" si="2"/>
        <v>3.9252946211437304E-3</v>
      </c>
      <c r="Q54" s="15">
        <f>Table9[[#This Row],[تارگت15 مهر]]/Table9[[#This Row],[درصد راکد11مهر]]</f>
        <v>0.75642335506953062</v>
      </c>
    </row>
    <row r="55" spans="1:17" x14ac:dyDescent="0.3">
      <c r="A55" s="8" t="str">
        <f>VLOOKUP(Table9[[#This Row],[نام شعبه ]],[1]دیتا!E:G,3,0)</f>
        <v>جواد رستمی</v>
      </c>
      <c r="B55" s="9" t="s">
        <v>123</v>
      </c>
      <c r="C55" s="10" t="s">
        <v>124</v>
      </c>
      <c r="D55" s="11">
        <f>_xlfn.XLOOKUP(Table9[[#This Row],[کدشعبه ]],'[1]60 روزه'!A:A,'[1]60 روزه'!D:D,"*",0)</f>
        <v>381808000</v>
      </c>
      <c r="E55" s="12">
        <v>1.1115101719694633E-2</v>
      </c>
      <c r="F55" s="12">
        <v>9.6100177220217568E-3</v>
      </c>
      <c r="G55" s="12">
        <f>_xlfn.XLOOKUP(Table9[[#This Row],[کدشعبه ]],'[1]60 روزه'!A:A,'[1]60 روزه'!E:E,1)</f>
        <v>6.752604277255941E-3</v>
      </c>
      <c r="H55" s="12">
        <v>6.7537699706535156E-3</v>
      </c>
      <c r="I55" s="12">
        <v>6.2581937735715076E-3</v>
      </c>
      <c r="J55" s="12">
        <v>7.0078263206408489E-3</v>
      </c>
      <c r="K55" s="12">
        <v>6.1573661283778752E-3</v>
      </c>
      <c r="L55" s="13">
        <v>6.752604277255941E-3</v>
      </c>
      <c r="M55" s="12">
        <f t="shared" si="0"/>
        <v>5.952381488780658E-4</v>
      </c>
      <c r="N55" s="14" t="str">
        <f>_xlfn.XLOOKUP(Table9[[#This Row],[کدشعبه ]],[1]!Table28[کد فروشگاه],[1]!Table28[Column1],"*",0)</f>
        <v xml:space="preserve">مرتضی تیموری </v>
      </c>
      <c r="O55" s="12">
        <f t="shared" si="1"/>
        <v>5.1061921802817477E-3</v>
      </c>
      <c r="P55" s="12">
        <f t="shared" si="2"/>
        <v>-1.9016341403591012E-3</v>
      </c>
      <c r="Q55" s="15">
        <f>Table9[[#This Row],[تارگت15 مهر]]/Table9[[#This Row],[درصد راکد11مهر]]</f>
        <v>0.75618116664712265</v>
      </c>
    </row>
    <row r="56" spans="1:17" x14ac:dyDescent="0.3">
      <c r="A56" s="8" t="str">
        <f>VLOOKUP(Table9[[#This Row],[نام شعبه ]],[1]دیتا!E:G,3,0)</f>
        <v xml:space="preserve">فیاض رحیم زاده </v>
      </c>
      <c r="B56" s="9" t="s">
        <v>125</v>
      </c>
      <c r="C56" s="10" t="s">
        <v>126</v>
      </c>
      <c r="D56" s="11">
        <f>_xlfn.XLOOKUP(Table9[[#This Row],[کدشعبه ]],'[1]60 روزه'!A:A,'[1]60 روزه'!D:D,"*",0)</f>
        <v>378352567</v>
      </c>
      <c r="E56" s="12">
        <v>6.4450840615157311E-3</v>
      </c>
      <c r="F56" s="12">
        <v>6.237511748270648E-3</v>
      </c>
      <c r="G56" s="12">
        <f>_xlfn.XLOOKUP(Table9[[#This Row],[کدشعبه ]],'[1]60 روزه'!A:A,'[1]60 روزه'!E:E,1)</f>
        <v>5.400038191406358E-3</v>
      </c>
      <c r="H56" s="12">
        <v>6.2662076251845111E-3</v>
      </c>
      <c r="I56" s="12">
        <v>6.2214944742714747E-3</v>
      </c>
      <c r="J56" s="12">
        <v>1.1071428399248129E-2</v>
      </c>
      <c r="K56" s="12">
        <v>5.7434849182006588E-3</v>
      </c>
      <c r="L56" s="13">
        <v>5.400038191406358E-3</v>
      </c>
      <c r="M56" s="12">
        <f t="shared" si="0"/>
        <v>-3.4344672679430081E-4</v>
      </c>
      <c r="N56" s="14" t="str">
        <f>_xlfn.XLOOKUP(Table9[[#This Row],[کدشعبه ]],[1]!Table28[کد فروشگاه],[1]!Table28[Column1],"*",0)</f>
        <v>میثم نوریان هاشم آبادی</v>
      </c>
      <c r="O56" s="12">
        <f t="shared" si="1"/>
        <v>4.0827706583134397E-3</v>
      </c>
      <c r="P56" s="12">
        <f t="shared" si="2"/>
        <v>-6.9886577409346892E-3</v>
      </c>
      <c r="Q56" s="15">
        <f>Table9[[#This Row],[تارگت15 مهر]]/Table9[[#This Row],[درصد راکد11مهر]]</f>
        <v>0.75606329318388465</v>
      </c>
    </row>
    <row r="57" spans="1:17" x14ac:dyDescent="0.3">
      <c r="A57" s="8" t="str">
        <f>VLOOKUP(Table9[[#This Row],[نام شعبه ]],[1]دیتا!E:G,3,0)</f>
        <v xml:space="preserve">فیاض رحیم زاده </v>
      </c>
      <c r="B57" s="9" t="s">
        <v>127</v>
      </c>
      <c r="C57" s="10" t="s">
        <v>128</v>
      </c>
      <c r="D57" s="11">
        <f>_xlfn.XLOOKUP(Table9[[#This Row],[کدشعبه ]],'[1]60 روزه'!A:A,'[1]60 روزه'!D:D,"*",0)</f>
        <v>626636462</v>
      </c>
      <c r="E57" s="12">
        <v>9.4402956579390553E-3</v>
      </c>
      <c r="F57" s="12">
        <v>8.5714063905163486E-3</v>
      </c>
      <c r="G57" s="12">
        <f>_xlfn.XLOOKUP(Table9[[#This Row],[کدشعبه ]],'[1]60 روزه'!A:A,'[1]60 روزه'!E:E,1)</f>
        <v>7.8008051023055582E-3</v>
      </c>
      <c r="H57" s="12">
        <v>9.8505467852054822E-3</v>
      </c>
      <c r="I57" s="12">
        <v>8.8968097621738764E-3</v>
      </c>
      <c r="J57" s="12">
        <v>8.6507419086034806E-3</v>
      </c>
      <c r="K57" s="12">
        <v>7.1719491984005108E-3</v>
      </c>
      <c r="L57" s="13">
        <v>7.8008051023055582E-3</v>
      </c>
      <c r="M57" s="12">
        <f t="shared" si="0"/>
        <v>6.2885590390504738E-4</v>
      </c>
      <c r="N57" s="14" t="str">
        <f>_xlfn.XLOOKUP(Table9[[#This Row],[کدشعبه ]],[1]!Table28[کد فروشگاه],[1]!Table28[Column1],"*",0)</f>
        <v>مریم عبدی پور</v>
      </c>
      <c r="O57" s="12">
        <f t="shared" si="1"/>
        <v>5.8743379121099885E-3</v>
      </c>
      <c r="P57" s="12">
        <f t="shared" si="2"/>
        <v>-2.7764039964934921E-3</v>
      </c>
      <c r="Q57" s="15">
        <f>Table9[[#This Row],[تارگت15 مهر]]/Table9[[#This Row],[درصد راکد11مهر]]</f>
        <v>0.75304251741577355</v>
      </c>
    </row>
    <row r="58" spans="1:17" x14ac:dyDescent="0.3">
      <c r="A58" s="8" t="str">
        <f>VLOOKUP(Table9[[#This Row],[نام شعبه ]],[1]دیتا!E:G,3,0)</f>
        <v>محسن ملکی</v>
      </c>
      <c r="B58" s="9" t="s">
        <v>129</v>
      </c>
      <c r="C58" s="10" t="s">
        <v>130</v>
      </c>
      <c r="D58" s="11">
        <f>_xlfn.XLOOKUP(Table9[[#This Row],[کدشعبه ]],'[1]60 روزه'!A:A,'[1]60 روزه'!D:D,"*",0)</f>
        <v>690811739</v>
      </c>
      <c r="E58" s="12">
        <v>2.8750288682105694E-2</v>
      </c>
      <c r="F58" s="12">
        <v>2.9040687776046188E-2</v>
      </c>
      <c r="G58" s="12">
        <f>_xlfn.XLOOKUP(Table9[[#This Row],[کدشعبه ]],'[1]60 روزه'!A:A,'[1]60 روزه'!E:E,1)</f>
        <v>1.1874928066198357E-2</v>
      </c>
      <c r="H58" s="12">
        <v>1.7231245662504141E-2</v>
      </c>
      <c r="I58" s="12">
        <v>1.8078558711144627E-2</v>
      </c>
      <c r="J58" s="12">
        <v>2.0351200025533461E-2</v>
      </c>
      <c r="K58" s="12">
        <v>1.1918213682657108E-2</v>
      </c>
      <c r="L58" s="13">
        <v>1.1874928066198357E-2</v>
      </c>
      <c r="M58" s="12">
        <f t="shared" si="0"/>
        <v>-4.3285616458750911E-5</v>
      </c>
      <c r="N58" s="14" t="str">
        <f>_xlfn.XLOOKUP(Table9[[#This Row],[کدشعبه ]],[1]!Table28[کد فروشگاه],[1]!Table28[Column1],"*",0)</f>
        <v>محسن حسنوند</v>
      </c>
      <c r="O58" s="12">
        <f t="shared" si="1"/>
        <v>8.8655336788270901E-3</v>
      </c>
      <c r="P58" s="12">
        <f t="shared" si="2"/>
        <v>-1.148566634670637E-2</v>
      </c>
      <c r="Q58" s="15">
        <f>Table9[[#This Row],[تارگت15 مهر]]/Table9[[#This Row],[درصد راکد11مهر]]</f>
        <v>0.7465757796093585</v>
      </c>
    </row>
    <row r="59" spans="1:17" x14ac:dyDescent="0.3">
      <c r="A59" s="8" t="str">
        <f>VLOOKUP(Table9[[#This Row],[نام شعبه ]],[1]دیتا!E:G,3,0)</f>
        <v xml:space="preserve">میثم جلالوند </v>
      </c>
      <c r="B59" s="9" t="s">
        <v>131</v>
      </c>
      <c r="C59" s="10" t="s">
        <v>132</v>
      </c>
      <c r="D59" s="11">
        <f>_xlfn.XLOOKUP(Table9[[#This Row],[کدشعبه ]],'[1]60 روزه'!A:A,'[1]60 روزه'!D:D,"*",0)</f>
        <v>3683142977</v>
      </c>
      <c r="E59" s="12">
        <v>6.8883633995401747E-2</v>
      </c>
      <c r="F59" s="12">
        <v>7.0489911425878418E-2</v>
      </c>
      <c r="G59" s="12">
        <f>_xlfn.XLOOKUP(Table9[[#This Row],[کدشعبه ]],'[1]60 روزه'!A:A,'[1]60 روزه'!E:E,1)</f>
        <v>5.2772673787061672E-2</v>
      </c>
      <c r="H59" s="12">
        <v>6.5741114685212737E-2</v>
      </c>
      <c r="I59" s="12">
        <v>6.7214792867340292E-2</v>
      </c>
      <c r="J59" s="12">
        <v>5.7120581170947815E-2</v>
      </c>
      <c r="K59" s="12">
        <v>4.7065252018231134E-2</v>
      </c>
      <c r="L59" s="13">
        <v>5.2772673787061672E-2</v>
      </c>
      <c r="M59" s="12">
        <f t="shared" si="0"/>
        <v>5.7074217688305381E-3</v>
      </c>
      <c r="N59" s="14" t="str">
        <f>_xlfn.XLOOKUP(Table9[[#This Row],[کدشعبه ]],[1]!Table28[کد فروشگاه],[1]!Table28[Column1],"*",0)</f>
        <v xml:space="preserve">آرمین حقانی </v>
      </c>
      <c r="O59" s="12">
        <f t="shared" si="1"/>
        <v>3.8497164842588964E-2</v>
      </c>
      <c r="P59" s="12">
        <f t="shared" si="2"/>
        <v>-1.8623416328358851E-2</v>
      </c>
      <c r="Q59" s="15">
        <f>Table9[[#This Row],[تارگت15 مهر]]/Table9[[#This Row],[درصد راکد11مهر]]</f>
        <v>0.72949051241795049</v>
      </c>
    </row>
    <row r="60" spans="1:17" x14ac:dyDescent="0.3">
      <c r="A60" s="8" t="str">
        <f>VLOOKUP(Table9[[#This Row],[نام شعبه ]],[1]دیتا!E:G,3,0)</f>
        <v>محمد کاظم بستامی</v>
      </c>
      <c r="B60" s="9" t="s">
        <v>133</v>
      </c>
      <c r="C60" s="10" t="s">
        <v>134</v>
      </c>
      <c r="D60" s="11">
        <f>_xlfn.XLOOKUP(Table9[[#This Row],[کدشعبه ]],'[1]60 روزه'!A:A,'[1]60 روزه'!D:D,"*",0)</f>
        <v>1157998376</v>
      </c>
      <c r="E60" s="12">
        <v>1.1170614974011249E-2</v>
      </c>
      <c r="F60" s="12">
        <v>1.2865355613715145E-2</v>
      </c>
      <c r="G60" s="12">
        <f>_xlfn.XLOOKUP(Table9[[#This Row],[کدشعبه ]],'[1]60 روزه'!A:A,'[1]60 روزه'!E:E,1)</f>
        <v>2.3618904938877836E-2</v>
      </c>
      <c r="H60" s="12">
        <v>1.3327985048418296E-2</v>
      </c>
      <c r="I60" s="12">
        <v>1.5294612604785767E-2</v>
      </c>
      <c r="J60" s="12">
        <v>1.9546867404557716E-2</v>
      </c>
      <c r="K60" s="12">
        <v>2.0056446458484162E-2</v>
      </c>
      <c r="L60" s="13">
        <v>2.3618904938877836E-2</v>
      </c>
      <c r="M60" s="12">
        <f t="shared" si="0"/>
        <v>3.5624584803936737E-3</v>
      </c>
      <c r="N60" s="14" t="str">
        <f>_xlfn.XLOOKUP(Table9[[#This Row],[کدشعبه ]],[1]!Table28[کد فروشگاه],[1]!Table28[Column1],"*",0)</f>
        <v>امین حسنوند</v>
      </c>
      <c r="O60" s="12">
        <f t="shared" si="1"/>
        <v>1.7124416347800504E-2</v>
      </c>
      <c r="P60" s="12">
        <f t="shared" si="2"/>
        <v>-2.4224510567572126E-3</v>
      </c>
      <c r="Q60" s="15">
        <f>Table9[[#This Row],[تارگت15 مهر]]/Table9[[#This Row],[درصد راکد11مهر]]</f>
        <v>0.72503007197479774</v>
      </c>
    </row>
    <row r="61" spans="1:17" x14ac:dyDescent="0.3">
      <c r="A61" s="8" t="str">
        <f>VLOOKUP(Table9[[#This Row],[نام شعبه ]],[1]دیتا!E:G,3,0)</f>
        <v>مرتضی رضایی</v>
      </c>
      <c r="B61" s="9" t="s">
        <v>135</v>
      </c>
      <c r="C61" s="10" t="s">
        <v>136</v>
      </c>
      <c r="D61" s="11">
        <f>_xlfn.XLOOKUP(Table9[[#This Row],[کدشعبه ]],'[1]60 روزه'!A:A,'[1]60 روزه'!D:D,"*",0)</f>
        <v>1391259092</v>
      </c>
      <c r="E61" s="12">
        <v>1.2015306900021892E-2</v>
      </c>
      <c r="F61" s="12">
        <v>1.117476057857056E-2</v>
      </c>
      <c r="G61" s="12">
        <f>_xlfn.XLOOKUP(Table9[[#This Row],[کدشعبه ]],'[1]60 روزه'!A:A,'[1]60 روزه'!E:E,1)</f>
        <v>2.5762015888574807E-2</v>
      </c>
      <c r="H61" s="12">
        <v>1.5036709326762685E-2</v>
      </c>
      <c r="I61" s="12">
        <v>1.2776586337456992E-2</v>
      </c>
      <c r="J61" s="12">
        <v>1.6561368995458708E-2</v>
      </c>
      <c r="K61" s="12">
        <v>2.0865390871171115E-2</v>
      </c>
      <c r="L61" s="13">
        <v>2.5762015888574807E-2</v>
      </c>
      <c r="M61" s="12">
        <f t="shared" si="0"/>
        <v>4.8966250174036913E-3</v>
      </c>
      <c r="N61" s="14" t="str">
        <f>_xlfn.XLOOKUP(Table9[[#This Row],[کدشعبه ]],[1]!Table28[کد فروشگاه],[1]!Table28[Column1],"*",0)</f>
        <v>حسین آزادی</v>
      </c>
      <c r="O61" s="12">
        <f t="shared" si="1"/>
        <v>1.8381185521852309E-2</v>
      </c>
      <c r="P61" s="12">
        <f t="shared" si="2"/>
        <v>1.8198165263936007E-3</v>
      </c>
      <c r="Q61" s="15">
        <f>Table9[[#This Row],[تارگت15 مهر]]/Table9[[#This Row],[درصد راکد11مهر]]</f>
        <v>0.71349950257596806</v>
      </c>
    </row>
    <row r="62" spans="1:17" x14ac:dyDescent="0.3">
      <c r="A62" s="8" t="str">
        <f>VLOOKUP(Table9[[#This Row],[نام شعبه ]],[1]دیتا!E:G,3,0)</f>
        <v xml:space="preserve">فیاض رحیم زاده </v>
      </c>
      <c r="B62" s="9" t="s">
        <v>137</v>
      </c>
      <c r="C62" s="10" t="s">
        <v>138</v>
      </c>
      <c r="D62" s="11">
        <f>_xlfn.XLOOKUP(Table9[[#This Row],[کدشعبه ]],'[1]60 روزه'!A:A,'[1]60 روزه'!D:D,"*",0)</f>
        <v>1322112115</v>
      </c>
      <c r="E62" s="12">
        <v>2.0073786369243268E-2</v>
      </c>
      <c r="F62" s="12">
        <v>2.0319720095397609E-2</v>
      </c>
      <c r="G62" s="12">
        <f>_xlfn.XLOOKUP(Table9[[#This Row],[کدشعبه ]],'[1]60 روزه'!A:A,'[1]60 روزه'!E:E,1)</f>
        <v>2.4969273136436942E-2</v>
      </c>
      <c r="H62" s="12">
        <v>2.0800632648672296E-2</v>
      </c>
      <c r="I62" s="12">
        <v>2.2087248167958897E-2</v>
      </c>
      <c r="J62" s="12">
        <v>2.0382850812173038E-2</v>
      </c>
      <c r="K62" s="12">
        <v>2.0801189094629562E-2</v>
      </c>
      <c r="L62" s="13">
        <v>2.4969273136436942E-2</v>
      </c>
      <c r="M62" s="12">
        <f t="shared" si="0"/>
        <v>4.1680840418073795E-3</v>
      </c>
      <c r="N62" s="14" t="str">
        <f>_xlfn.XLOOKUP(Table9[[#This Row],[کدشعبه ]],[1]!Table28[کد فروشگاه],[1]!Table28[Column1],"*",0)</f>
        <v>صحبت ولی زاده</v>
      </c>
      <c r="O62" s="12">
        <f t="shared" si="1"/>
        <v>1.7743761472803606E-2</v>
      </c>
      <c r="P62" s="12">
        <f t="shared" si="2"/>
        <v>-2.6390893393694326E-3</v>
      </c>
      <c r="Q62" s="15">
        <f>Table9[[#This Row],[تارگت15 مهر]]/Table9[[#This Row],[درصد راکد11مهر]]</f>
        <v>0.71062386861837179</v>
      </c>
    </row>
    <row r="63" spans="1:17" x14ac:dyDescent="0.3">
      <c r="A63" s="8" t="str">
        <f>VLOOKUP(Table9[[#This Row],[نام شعبه ]],[1]دیتا!E:G,3,0)</f>
        <v>سامان بسطامی</v>
      </c>
      <c r="B63" s="9" t="s">
        <v>139</v>
      </c>
      <c r="C63" s="10" t="s">
        <v>140</v>
      </c>
      <c r="D63" s="11">
        <f>_xlfn.XLOOKUP(Table9[[#This Row],[کدشعبه ]],'[1]60 روزه'!A:A,'[1]60 روزه'!D:D,"*",0)</f>
        <v>1343392680</v>
      </c>
      <c r="E63" s="12">
        <v>2.3334831558727287E-2</v>
      </c>
      <c r="F63" s="12">
        <v>2.7536765503050665E-2</v>
      </c>
      <c r="G63" s="12">
        <f>_xlfn.XLOOKUP(Table9[[#This Row],[کدشعبه ]],'[1]60 روزه'!A:A,'[1]60 روزه'!E:E,1)</f>
        <v>2.6834441546784889E-2</v>
      </c>
      <c r="H63" s="12">
        <v>2.3199403033531865E-2</v>
      </c>
      <c r="I63" s="12">
        <v>2.1819953451975925E-2</v>
      </c>
      <c r="J63" s="12">
        <v>3.6097802665283445E-2</v>
      </c>
      <c r="K63" s="12">
        <v>2.443725443864489E-2</v>
      </c>
      <c r="L63" s="13">
        <v>2.6834441546784889E-2</v>
      </c>
      <c r="M63" s="12">
        <f t="shared" si="0"/>
        <v>2.397187108139999E-3</v>
      </c>
      <c r="N63" s="14" t="str">
        <f>_xlfn.XLOOKUP(Table9[[#This Row],[کدشعبه ]],[1]!Table28[کد فروشگاه],[1]!Table28[Column1],"*",0)</f>
        <v>سحر ترابی</v>
      </c>
      <c r="O63" s="12">
        <f t="shared" si="1"/>
        <v>1.9022584038852375E-2</v>
      </c>
      <c r="P63" s="12">
        <f t="shared" si="2"/>
        <v>-1.707521862643107E-2</v>
      </c>
      <c r="Q63" s="15">
        <f>Table9[[#This Row],[تارگت15 مهر]]/Table9[[#This Row],[درصد راکد11مهر]]</f>
        <v>0.70888689841699071</v>
      </c>
    </row>
    <row r="64" spans="1:17" x14ac:dyDescent="0.3">
      <c r="A64" s="8" t="str">
        <f>VLOOKUP(Table9[[#This Row],[نام شعبه ]],[1]دیتا!E:G,3,0)</f>
        <v>جواد رستمی</v>
      </c>
      <c r="B64" s="9" t="s">
        <v>141</v>
      </c>
      <c r="C64" s="10" t="s">
        <v>142</v>
      </c>
      <c r="D64" s="11">
        <f>_xlfn.XLOOKUP(Table9[[#This Row],[کدشعبه ]],'[1]60 روزه'!A:A,'[1]60 روزه'!D:D,"*",0)</f>
        <v>2767023382</v>
      </c>
      <c r="E64" s="12">
        <v>3.5969764976289079E-2</v>
      </c>
      <c r="F64" s="12">
        <v>3.6874248515368836E-2</v>
      </c>
      <c r="G64" s="12">
        <f>_xlfn.XLOOKUP(Table9[[#This Row],[کدشعبه ]],'[1]60 روزه'!A:A,'[1]60 روزه'!E:E,1)</f>
        <v>4.4900740002965185E-2</v>
      </c>
      <c r="H64" s="12">
        <v>3.0192768265440765E-2</v>
      </c>
      <c r="I64" s="12">
        <v>3.2343937838418962E-2</v>
      </c>
      <c r="J64" s="12">
        <v>4.0052970557923104E-2</v>
      </c>
      <c r="K64" s="12">
        <v>3.7474723547286606E-2</v>
      </c>
      <c r="L64" s="13">
        <v>4.4900740002965185E-2</v>
      </c>
      <c r="M64" s="12">
        <f t="shared" si="0"/>
        <v>7.4260164556785788E-3</v>
      </c>
      <c r="N64" s="14" t="str">
        <f>_xlfn.XLOOKUP(Table9[[#This Row],[کدشعبه ]],[1]!Table28[کد فروشگاه],[1]!Table28[Column1],"*",0)</f>
        <v>آیدا چاره باشی</v>
      </c>
      <c r="O64" s="12">
        <f t="shared" si="1"/>
        <v>3.146677796359814E-2</v>
      </c>
      <c r="P64" s="12">
        <f t="shared" si="2"/>
        <v>-8.5861925943249637E-3</v>
      </c>
      <c r="Q64" s="15">
        <f>Table9[[#This Row],[تارگت15 مهر]]/Table9[[#This Row],[درصد راکد11مهر]]</f>
        <v>0.70080755821663776</v>
      </c>
    </row>
    <row r="65" spans="1:17" x14ac:dyDescent="0.3">
      <c r="A65" s="8" t="str">
        <f>VLOOKUP(Table9[[#This Row],[نام شعبه ]],[1]دیتا!E:G,3,0)</f>
        <v>سامان بسطامی</v>
      </c>
      <c r="B65" s="9" t="s">
        <v>143</v>
      </c>
      <c r="C65" s="10" t="s">
        <v>144</v>
      </c>
      <c r="D65" s="11">
        <f>_xlfn.XLOOKUP(Table9[[#This Row],[کدشعبه ]],'[1]60 روزه'!A:A,'[1]60 روزه'!D:D,"*",0)</f>
        <v>240258906</v>
      </c>
      <c r="E65" s="12">
        <v>2.9205115932292311E-3</v>
      </c>
      <c r="F65" s="12">
        <v>2.7830078939207054E-3</v>
      </c>
      <c r="G65" s="12">
        <f>_xlfn.XLOOKUP(Table9[[#This Row],[کدشعبه ]],'[1]60 روزه'!A:A,'[1]60 روزه'!E:E,1)</f>
        <v>4.390801462136028E-3</v>
      </c>
      <c r="H65" s="12">
        <v>3.493423259014198E-3</v>
      </c>
      <c r="I65" s="12">
        <v>4.0577182704018737E-3</v>
      </c>
      <c r="J65" s="12">
        <v>3.7296294489652109E-3</v>
      </c>
      <c r="K65" s="12">
        <v>3.6291979911529737E-3</v>
      </c>
      <c r="L65" s="13">
        <v>4.390801462136028E-3</v>
      </c>
      <c r="M65" s="12">
        <f t="shared" si="0"/>
        <v>7.6160347098305423E-4</v>
      </c>
      <c r="N65" s="14" t="str">
        <f>_xlfn.XLOOKUP(Table9[[#This Row],[کدشعبه ]],[1]!Table28[کد فروشگاه],[1]!Table28[Column1],"*",0)</f>
        <v>سارا افروزه</v>
      </c>
      <c r="O65" s="12">
        <f t="shared" si="1"/>
        <v>3.0697535738081921E-3</v>
      </c>
      <c r="P65" s="12">
        <f t="shared" si="2"/>
        <v>-6.5987587515701877E-4</v>
      </c>
      <c r="Q65" s="15">
        <f>Table9[[#This Row],[تارگت15 مهر]]/Table9[[#This Row],[درصد راکد11مهر]]</f>
        <v>0.69913285769810796</v>
      </c>
    </row>
    <row r="66" spans="1:17" x14ac:dyDescent="0.3">
      <c r="A66" s="8" t="str">
        <f>VLOOKUP(Table9[[#This Row],[نام شعبه ]],[1]دیتا!E:G,3,0)</f>
        <v xml:space="preserve">فیاض رحیم زاده </v>
      </c>
      <c r="B66" s="9" t="s">
        <v>145</v>
      </c>
      <c r="C66" s="10" t="s">
        <v>146</v>
      </c>
      <c r="D66" s="11">
        <f>_xlfn.XLOOKUP(Table9[[#This Row],[کدشعبه ]],'[1]60 روزه'!A:A,'[1]60 روزه'!D:D,"*",0)</f>
        <v>965316840</v>
      </c>
      <c r="E66" s="12">
        <v>2.44007818705534E-2</v>
      </c>
      <c r="F66" s="12">
        <v>2.540719296251125E-2</v>
      </c>
      <c r="G66" s="12">
        <f>_xlfn.XLOOKUP(Table9[[#This Row],[کدشعبه ]],'[1]60 روزه'!A:A,'[1]60 روزه'!E:E,1)</f>
        <v>1.9745984597791214E-2</v>
      </c>
      <c r="H66" s="12">
        <v>3.0057899207637771E-2</v>
      </c>
      <c r="I66" s="12">
        <v>2.8611361602243448E-2</v>
      </c>
      <c r="J66" s="12">
        <v>2.6048808967699635E-2</v>
      </c>
      <c r="K66" s="12">
        <v>1.7653325053459502E-2</v>
      </c>
      <c r="L66" s="13">
        <v>1.9745984597791214E-2</v>
      </c>
      <c r="M66" s="12">
        <f t="shared" ref="M66:M72" si="3">L66-K66</f>
        <v>2.0926595443317118E-3</v>
      </c>
      <c r="N66" s="14" t="str">
        <f>_xlfn.XLOOKUP(Table9[[#This Row],[کدشعبه ]],[1]!Table28[کد فروشگاه],[1]!Table28[Column1],"*",0)</f>
        <v>فاطمه زکش</v>
      </c>
      <c r="O66" s="12">
        <f t="shared" ref="O66:O72" si="4">K66-(J66*0.15)</f>
        <v>1.3746003708304557E-2</v>
      </c>
      <c r="P66" s="12">
        <f t="shared" ref="P66:P72" si="5">O66-J66</f>
        <v>-1.2302805259395078E-2</v>
      </c>
      <c r="Q66" s="15">
        <f>Table9[[#This Row],[تارگت15 مهر]]/Table9[[#This Row],[درصد راکد11مهر]]</f>
        <v>0.69614172138279629</v>
      </c>
    </row>
    <row r="67" spans="1:17" x14ac:dyDescent="0.3">
      <c r="A67" s="8" t="str">
        <f>VLOOKUP(Table9[[#This Row],[نام شعبه ]],[1]دیتا!E:G,3,0)</f>
        <v>محمد شاکری</v>
      </c>
      <c r="B67" s="9" t="s">
        <v>147</v>
      </c>
      <c r="C67" s="10" t="s">
        <v>148</v>
      </c>
      <c r="D67" s="11">
        <f>_xlfn.XLOOKUP(Table9[[#This Row],[کدشعبه ]],'[1]60 روزه'!A:A,'[1]60 روزه'!D:D,"*",0)</f>
        <v>414968425</v>
      </c>
      <c r="E67" s="12">
        <v>7.8251529459922569E-3</v>
      </c>
      <c r="F67" s="12">
        <v>8.1877321376066688E-3</v>
      </c>
      <c r="G67" s="12">
        <f>_xlfn.XLOOKUP(Table9[[#This Row],[کدشعبه ]],'[1]60 روزه'!A:A,'[1]60 روزه'!E:E,1)</f>
        <v>5.561195502824327E-3</v>
      </c>
      <c r="H67" s="12">
        <v>6.6988065739311048E-3</v>
      </c>
      <c r="I67" s="12">
        <v>7.5198490943742171E-3</v>
      </c>
      <c r="J67" s="12">
        <v>5.9168908372425185E-3</v>
      </c>
      <c r="K67" s="12">
        <v>4.7505857446593627E-3</v>
      </c>
      <c r="L67" s="13">
        <v>5.561195502824327E-3</v>
      </c>
      <c r="M67" s="12">
        <f t="shared" si="3"/>
        <v>8.106097581649643E-4</v>
      </c>
      <c r="N67" s="14" t="str">
        <f>_xlfn.XLOOKUP(Table9[[#This Row],[کدشعبه ]],[1]!Table28[کد فروشگاه],[1]!Table28[Column1],"*",0)</f>
        <v>علی رضا مرادی</v>
      </c>
      <c r="O67" s="12">
        <f t="shared" si="4"/>
        <v>3.863052119072985E-3</v>
      </c>
      <c r="P67" s="12">
        <f t="shared" si="5"/>
        <v>-2.0538387181695335E-3</v>
      </c>
      <c r="Q67" s="15">
        <f>Table9[[#This Row],[تارگت15 مهر]]/Table9[[#This Row],[درصد راکد11مهر]]</f>
        <v>0.69464418524957139</v>
      </c>
    </row>
    <row r="68" spans="1:17" x14ac:dyDescent="0.3">
      <c r="A68" s="8" t="str">
        <f>VLOOKUP(Table9[[#This Row],[نام شعبه ]],[1]دیتا!E:G,3,0)</f>
        <v>علی ابراهیمی نیا</v>
      </c>
      <c r="B68" s="9" t="s">
        <v>149</v>
      </c>
      <c r="C68" s="10" t="s">
        <v>150</v>
      </c>
      <c r="D68" s="11">
        <f>_xlfn.XLOOKUP(Table9[[#This Row],[کدشعبه ]],'[1]60 روزه'!A:A,'[1]60 روزه'!D:D,"*",0)</f>
        <v>1309710963</v>
      </c>
      <c r="E68" s="12">
        <v>2.1991713139132483E-2</v>
      </c>
      <c r="F68" s="12">
        <v>2.4894666557002749E-2</v>
      </c>
      <c r="G68" s="12">
        <f>_xlfn.XLOOKUP(Table9[[#This Row],[کدشعبه ]],'[1]60 روزه'!A:A,'[1]60 روزه'!E:E,1)</f>
        <v>1.7179720642912708E-2</v>
      </c>
      <c r="H68" s="12">
        <v>2.0868122756009883E-2</v>
      </c>
      <c r="I68" s="12">
        <v>2.29180864330326E-2</v>
      </c>
      <c r="J68" s="12">
        <v>1.9902144940693939E-2</v>
      </c>
      <c r="K68" s="12">
        <v>1.4649821384766419E-2</v>
      </c>
      <c r="L68" s="13">
        <v>1.7179720642912708E-2</v>
      </c>
      <c r="M68" s="12">
        <f t="shared" si="3"/>
        <v>2.5298992581462895E-3</v>
      </c>
      <c r="N68" s="14" t="str">
        <f>_xlfn.XLOOKUP(Table9[[#This Row],[کدشعبه ]],[1]!Table28[کد فروشگاه],[1]!Table28[Column1],"*",0)</f>
        <v>فاطمه سبزواری</v>
      </c>
      <c r="O68" s="12">
        <f t="shared" si="4"/>
        <v>1.1664499643662328E-2</v>
      </c>
      <c r="P68" s="12">
        <f t="shared" si="5"/>
        <v>-8.2376452970316111E-3</v>
      </c>
      <c r="Q68" s="15">
        <f>Table9[[#This Row],[تارگت15 مهر]]/Table9[[#This Row],[درصد راکد11مهر]]</f>
        <v>0.67896911050613507</v>
      </c>
    </row>
    <row r="69" spans="1:17" x14ac:dyDescent="0.3">
      <c r="A69" s="8" t="str">
        <f>VLOOKUP(Table9[[#This Row],[نام شعبه ]],[1]دیتا!E:G,3,0)</f>
        <v xml:space="preserve">فیاض رحیم زاده </v>
      </c>
      <c r="B69" s="9" t="s">
        <v>151</v>
      </c>
      <c r="C69" s="10" t="s">
        <v>152</v>
      </c>
      <c r="D69" s="11">
        <f>_xlfn.XLOOKUP(Table9[[#This Row],[کدشعبه ]],'[1]60 روزه'!A:A,'[1]60 روزه'!D:D,"*",0)</f>
        <v>1711347844</v>
      </c>
      <c r="E69" s="12">
        <v>2.0531032924071064E-2</v>
      </c>
      <c r="F69" s="12">
        <v>2.0334463252475451E-2</v>
      </c>
      <c r="G69" s="12">
        <f>_xlfn.XLOOKUP(Table9[[#This Row],[کدشعبه ]],'[1]60 روزه'!A:A,'[1]60 روزه'!E:E,1)</f>
        <v>3.0449397002361749E-2</v>
      </c>
      <c r="H69" s="12">
        <v>2.2883028902398954E-2</v>
      </c>
      <c r="I69" s="12">
        <v>2.5659947829995412E-2</v>
      </c>
      <c r="J69" s="12">
        <v>2.6558268387869156E-2</v>
      </c>
      <c r="K69" s="12">
        <v>2.3130160833910722E-2</v>
      </c>
      <c r="L69" s="13">
        <v>3.0449397002361749E-2</v>
      </c>
      <c r="M69" s="12">
        <f t="shared" si="3"/>
        <v>7.3192361684510272E-3</v>
      </c>
      <c r="N69" s="14" t="str">
        <f>_xlfn.XLOOKUP(Table9[[#This Row],[کدشعبه ]],[1]!Table28[کد فروشگاه],[1]!Table28[Column1],"*",0)</f>
        <v>پرستو شهسواری</v>
      </c>
      <c r="O69" s="12">
        <f t="shared" si="4"/>
        <v>1.914642057573035E-2</v>
      </c>
      <c r="P69" s="12">
        <f t="shared" si="5"/>
        <v>-7.4118478121388068E-3</v>
      </c>
      <c r="Q69" s="15">
        <f>Table9[[#This Row],[تارگت15 مهر]]/Table9[[#This Row],[درصد راکد11مهر]]</f>
        <v>0.62879473686277909</v>
      </c>
    </row>
    <row r="70" spans="1:17" x14ac:dyDescent="0.3">
      <c r="A70" s="8" t="str">
        <f>VLOOKUP(Table9[[#This Row],[نام شعبه ]],[1]دیتا!E:G,3,0)</f>
        <v>محمد کاظم بستامی</v>
      </c>
      <c r="B70" s="9" t="s">
        <v>153</v>
      </c>
      <c r="C70" s="10" t="s">
        <v>154</v>
      </c>
      <c r="D70" s="11">
        <f>_xlfn.XLOOKUP(Table9[[#This Row],[کدشعبه ]],'[1]60 روزه'!A:A,'[1]60 روزه'!D:D,"*",0)</f>
        <v>21853000</v>
      </c>
      <c r="E70" s="12">
        <v>2.7033453359864168E-4</v>
      </c>
      <c r="F70" s="12">
        <v>5.8295839368494354E-4</v>
      </c>
      <c r="G70" s="12">
        <f>_xlfn.XLOOKUP(Table9[[#This Row],[کدشعبه ]],'[1]60 روزه'!A:A,'[1]60 روزه'!E:E,1)</f>
        <v>3.9334031851764899E-4</v>
      </c>
      <c r="H70" s="12">
        <v>2.9772472697645009E-4</v>
      </c>
      <c r="I70" s="12">
        <v>4.5811269261347254E-4</v>
      </c>
      <c r="J70" s="12">
        <v>1.3944704535665509E-3</v>
      </c>
      <c r="K70" s="12">
        <v>4.4772094167395835E-4</v>
      </c>
      <c r="L70" s="13">
        <v>3.9334031851764899E-4</v>
      </c>
      <c r="M70" s="12">
        <f t="shared" si="3"/>
        <v>-5.4380623156309355E-5</v>
      </c>
      <c r="N70" s="14" t="str">
        <f>_xlfn.XLOOKUP(Table9[[#This Row],[کدشعبه ]],[1]!Table28[کد فروشگاه],[1]!Table28[Column1],"*",0)</f>
        <v>حسين قلي پور</v>
      </c>
      <c r="O70" s="12">
        <f t="shared" si="4"/>
        <v>2.3855037363897571E-4</v>
      </c>
      <c r="P70" s="12">
        <f t="shared" si="5"/>
        <v>-1.1559200799275751E-3</v>
      </c>
      <c r="Q70" s="15">
        <f>Table9[[#This Row],[تارگت15 مهر]]/Table9[[#This Row],[درصد راکد11مهر]]</f>
        <v>0.60647323045341983</v>
      </c>
    </row>
    <row r="71" spans="1:17" x14ac:dyDescent="0.3">
      <c r="A71" s="8" t="str">
        <f>VLOOKUP(Table9[[#This Row],[نام شعبه ]],[1]دیتا!E:G,3,0)</f>
        <v>سامان بسطامی</v>
      </c>
      <c r="B71" s="9" t="s">
        <v>155</v>
      </c>
      <c r="C71" s="10" t="s">
        <v>156</v>
      </c>
      <c r="D71" s="11">
        <f>_xlfn.XLOOKUP(Table9[[#This Row],[کدشعبه ]],'[1]60 روزه'!A:A,'[1]60 روزه'!D:D,"*",0)</f>
        <v>447651558</v>
      </c>
      <c r="E71" s="12">
        <v>5.0325649789060992E-3</v>
      </c>
      <c r="F71" s="12">
        <v>4.6970395628770653E-3</v>
      </c>
      <c r="G71" s="12">
        <f>_xlfn.XLOOKUP(Table9[[#This Row],[کدشعبه ]],'[1]60 روزه'!A:A,'[1]60 روزه'!E:E,1)</f>
        <v>6.4673270136137344E-3</v>
      </c>
      <c r="H71" s="12">
        <v>5.7852658209281097E-3</v>
      </c>
      <c r="I71" s="12">
        <v>6.2369107184717474E-3</v>
      </c>
      <c r="J71" s="12">
        <v>6.3586287956564191E-3</v>
      </c>
      <c r="K71" s="12">
        <v>4.8393072474369582E-3</v>
      </c>
      <c r="L71" s="13">
        <v>6.4673270136137344E-3</v>
      </c>
      <c r="M71" s="12">
        <f t="shared" si="3"/>
        <v>1.6280197661767762E-3</v>
      </c>
      <c r="N71" s="14" t="str">
        <f>_xlfn.XLOOKUP(Table9[[#This Row],[کدشعبه ]],[1]!Table28[کد فروشگاه],[1]!Table28[Column1],"*",0)</f>
        <v xml:space="preserve">اسماعيل رضائي </v>
      </c>
      <c r="O71" s="12">
        <f t="shared" si="4"/>
        <v>3.8855129280884956E-3</v>
      </c>
      <c r="P71" s="12">
        <f t="shared" si="5"/>
        <v>-2.4731158675679234E-3</v>
      </c>
      <c r="Q71" s="15">
        <f>Table9[[#This Row],[تارگت15 مهر]]/Table9[[#This Row],[درصد راکد11مهر]]</f>
        <v>0.60079116455832282</v>
      </c>
    </row>
    <row r="72" spans="1:17" x14ac:dyDescent="0.3">
      <c r="A72" s="8" t="str">
        <f>VLOOKUP(Table9[[#This Row],[نام شعبه ]],[1]دیتا!E:G,3,0)</f>
        <v>محمد شاکری</v>
      </c>
      <c r="B72" s="9" t="s">
        <v>157</v>
      </c>
      <c r="C72" s="10" t="s">
        <v>158</v>
      </c>
      <c r="D72" s="11">
        <f>_xlfn.XLOOKUP(Table9[[#This Row],[کدشعبه ]],'[1]60 روزه'!A:A,'[1]60 روزه'!D:D,"*",0)</f>
        <v>488136146</v>
      </c>
      <c r="E72" s="12">
        <v>5.4248491456095754E-3</v>
      </c>
      <c r="F72" s="12">
        <v>8.8153232825710394E-3</v>
      </c>
      <c r="G72" s="12">
        <f>_xlfn.XLOOKUP(Table9[[#This Row],[کدشعبه ]],'[1]60 روزه'!A:A,'[1]60 روزه'!E:E,1)</f>
        <v>7.5346813357093844E-3</v>
      </c>
      <c r="H72" s="12">
        <v>1.2195362783285627E-2</v>
      </c>
      <c r="I72" s="12">
        <v>9.6706357122879668E-3</v>
      </c>
      <c r="J72" s="12">
        <v>9.4245188197648183E-3</v>
      </c>
      <c r="K72" s="12">
        <v>5.5393051908272616E-3</v>
      </c>
      <c r="L72" s="13">
        <v>7.5346813357093844E-3</v>
      </c>
      <c r="M72" s="12">
        <f t="shared" si="3"/>
        <v>1.9953761448821229E-3</v>
      </c>
      <c r="N72" s="14" t="str">
        <f>_xlfn.XLOOKUP(Table9[[#This Row],[کدشعبه ]],[1]!Table28[کد فروشگاه],[1]!Table28[Column1],"*",0)</f>
        <v>سيده فتانه قاسمي</v>
      </c>
      <c r="O72" s="12">
        <f t="shared" si="4"/>
        <v>4.1256273678625388E-3</v>
      </c>
      <c r="P72" s="12">
        <f t="shared" si="5"/>
        <v>-5.2988914519022795E-3</v>
      </c>
      <c r="Q72" s="15">
        <f>Table9[[#This Row],[تارگت15 مهر]]/Table9[[#This Row],[درصد راکد11مهر]]</f>
        <v>0.54755167259825654</v>
      </c>
    </row>
    <row r="73" spans="1:17" x14ac:dyDescent="0.3">
      <c r="A73" s="16" t="s">
        <v>159</v>
      </c>
      <c r="B73" s="17"/>
      <c r="C73" s="18"/>
      <c r="D73" s="19" t="s">
        <v>160</v>
      </c>
      <c r="E73" s="20">
        <f>SUBTOTAL(101,Table9[درصد راکد16 شهریور])</f>
        <v>2.5285687823186583E-2</v>
      </c>
      <c r="F73" s="20">
        <f>SUBTOTAL(101,Table9[درصد راکد18 شهریور2])</f>
        <v>2.6205234177396872E-2</v>
      </c>
      <c r="G73" s="20">
        <f>SUBTOTAL(101,Table9[درصد  راکد 20 شهریور])</f>
        <v>2.3467764492783823E-2</v>
      </c>
      <c r="H73" s="20">
        <f>SUBTOTAL(101,Table9[درصد راکد 24 شهریور])</f>
        <v>2.4956542433881172E-2</v>
      </c>
      <c r="I73" s="20">
        <f>SUBTOTAL(101,Table9[درصد راکد 26شهریور])</f>
        <v>2.5617581036204349E-2</v>
      </c>
      <c r="J73" s="20">
        <f>SUBTOTAL(101,Table9[درصد راکد1 مهر])</f>
        <v>2.4129930604748235E-2</v>
      </c>
      <c r="K73" s="20" t="s">
        <v>161</v>
      </c>
      <c r="L73" s="21">
        <f>SUBTOTAL(101,Table9[درصد راکد11مهر])</f>
        <v>2.3467764492783823E-2</v>
      </c>
      <c r="M73" s="20">
        <f t="shared" ref="M73" si="6">G73-F73</f>
        <v>-2.7374696846130496E-3</v>
      </c>
      <c r="N73" s="18"/>
      <c r="O73" s="20">
        <f>J73-(I73*0.2)</f>
        <v>1.9006414397507367E-2</v>
      </c>
      <c r="P73" s="20">
        <f>O73-E73</f>
        <v>-6.279273425679216E-3</v>
      </c>
      <c r="Q73" s="22">
        <f>Table9[[#Totals],[تارگت15 مهر]]/Table9[[#Totals],[درصد راکد11مهر]]</f>
        <v>0.80989454293150542</v>
      </c>
    </row>
  </sheetData>
  <conditionalFormatting sqref="E1:L73">
    <cfRule type="cellIs" dxfId="0" priority="2" operator="between">
      <formula>0.02</formula>
      <formula>100</formula>
    </cfRule>
  </conditionalFormatting>
  <conditionalFormatting sqref="Q1:Q7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روند و تارگت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Bagheri, Shahin (OK)</dc:creator>
  <cp:lastModifiedBy>shahin</cp:lastModifiedBy>
  <dcterms:created xsi:type="dcterms:W3CDTF">2026-10-06T17:13:47Z</dcterms:created>
  <dcterms:modified xsi:type="dcterms:W3CDTF">2026-10-06T17:41:12Z</dcterms:modified>
</cp:coreProperties>
</file>