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ahin\Desktop\sample_data\"/>
    </mc:Choice>
  </mc:AlternateContent>
  <xr:revisionPtr revIDLastSave="0" documentId="13_ncr:1_{64FE9E50-EBF2-4541-B7B1-8DBF8E2D0F87}" xr6:coauthVersionLast="47" xr6:coauthVersionMax="47" xr10:uidLastSave="{00000000-0000-0000-0000-000000000000}"/>
  <bookViews>
    <workbookView xWindow="-108" yWindow="-108" windowWidth="23256" windowHeight="12456" tabRatio="577" xr2:uid="{00000000-000D-0000-FFFF-FFFF00000000}"/>
  </bookViews>
  <sheets>
    <sheet name="گزارش عملکرد " sheetId="2" r:id="rId1"/>
    <sheet name="مقایسه ای  " sheetId="9" r:id="rId2"/>
    <sheet name="ریز استرداد " sheetId="7" r:id="rId3"/>
    <sheet name="ناموجودی " sheetId="4" state="hidden" r:id="rId4"/>
    <sheet name="ریز تاخیر" sheetId="1" r:id="rId5"/>
    <sheet name="ریز ناموجودی " sheetId="5" state="hidden" r:id="rId6"/>
  </sheets>
  <externalReferences>
    <externalReference r:id="rId7"/>
    <externalReference r:id="rId8"/>
  </externalReferences>
  <calcPr calcId="191029"/>
  <pivotCaches>
    <pivotCache cacheId="0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2" i="1" l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N4" i="9" l="1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3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M8" i="9"/>
  <c r="M3" i="9"/>
  <c r="M4" i="9"/>
  <c r="M5" i="9"/>
  <c r="M6" i="9"/>
  <c r="M7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A4" i="9" l="1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3" i="9"/>
  <c r="AG4" i="7" l="1"/>
  <c r="AG3" i="7"/>
  <c r="AG2" i="7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</calcChain>
</file>

<file path=xl/sharedStrings.xml><?xml version="1.0" encoding="utf-8"?>
<sst xmlns="http://schemas.openxmlformats.org/spreadsheetml/2006/main" count="1147" uniqueCount="388">
  <si>
    <t>دیستریکت</t>
  </si>
  <si>
    <t>استان</t>
  </si>
  <si>
    <t>شهر</t>
  </si>
  <si>
    <t>نام فروشگاه</t>
  </si>
  <si>
    <t>TarikhShamsi</t>
  </si>
  <si>
    <t>کد فروشگاه</t>
  </si>
  <si>
    <t>company</t>
  </si>
  <si>
    <t>قیمت مصرف کننده</t>
  </si>
  <si>
    <t>تخفیفات عادی افق کوروش</t>
  </si>
  <si>
    <t>قیمت فروش افق کوروش</t>
  </si>
  <si>
    <t>درصد تخفیف افق کوروش</t>
  </si>
  <si>
    <t>تخفیف پلتفرم</t>
  </si>
  <si>
    <t>کل تخفیف پلتفرم</t>
  </si>
  <si>
    <t>قیمت فروش پلتفرم</t>
  </si>
  <si>
    <t>قیمت فروش خالص</t>
  </si>
  <si>
    <t xml:space="preserve">قیمت فروش خالص با تخفبفات </t>
  </si>
  <si>
    <t>پرداختی مشتری</t>
  </si>
  <si>
    <t>AOVمصرف کننده</t>
  </si>
  <si>
    <t>AOVافق کوروش</t>
  </si>
  <si>
    <t>AOVپلتفرم</t>
  </si>
  <si>
    <t>Average of PlatformDiscountPercent</t>
  </si>
  <si>
    <t>ثبتی</t>
  </si>
  <si>
    <t>تحویلی</t>
  </si>
  <si>
    <t>تحویلی به سفیر</t>
  </si>
  <si>
    <t>تحویلی به مشتری</t>
  </si>
  <si>
    <t>نسبت تحویلی به ثبتی</t>
  </si>
  <si>
    <t>OSR_OK</t>
  </si>
  <si>
    <t>IPO</t>
  </si>
  <si>
    <t>LPO</t>
  </si>
  <si>
    <t>عدم جمع‌آوری</t>
  </si>
  <si>
    <t>درصد عدم جمع‌آوری</t>
  </si>
  <si>
    <t>سفارش باز</t>
  </si>
  <si>
    <t>کنسلی</t>
  </si>
  <si>
    <t>CancelPercent</t>
  </si>
  <si>
    <t>درصد کنسلی به دلیل تاخیر</t>
  </si>
  <si>
    <t>درصد کنسلی به دلیل ناموجودی</t>
  </si>
  <si>
    <t>ناموجودی</t>
  </si>
  <si>
    <t>NFCPercent</t>
  </si>
  <si>
    <t>کنسلی به دلیل ناموجودی</t>
  </si>
  <si>
    <t>مرجوعی</t>
  </si>
  <si>
    <t>درصد مرجوعی</t>
  </si>
  <si>
    <t>تاخیر</t>
  </si>
  <si>
    <t>درصد تاخیر</t>
  </si>
  <si>
    <t>تاخیر لجستیک</t>
  </si>
  <si>
    <t>کنسلی به دلیل تاخیر</t>
  </si>
  <si>
    <t>انتظار جورچین</t>
  </si>
  <si>
    <t>جورچینی</t>
  </si>
  <si>
    <t>Average of Cash</t>
  </si>
  <si>
    <t>ارگانیک ثبتی</t>
  </si>
  <si>
    <t>درصد ارگانیک ثبتی</t>
  </si>
  <si>
    <t>ارگانیک تحویلی</t>
  </si>
  <si>
    <t>درصد ارگانیک تحویلی</t>
  </si>
  <si>
    <t>شرکت تحویل دهنده</t>
  </si>
  <si>
    <t>سوپروایزر</t>
  </si>
  <si>
    <t>معين فروشگاه</t>
  </si>
  <si>
    <t>تعداد پرسنل فعال</t>
  </si>
  <si>
    <t xml:space="preserve">تعداد پرسنل </t>
  </si>
  <si>
    <t>تعداد پرسنل پیشنهادی</t>
  </si>
  <si>
    <t>خرم آباد</t>
  </si>
  <si>
    <t>لرستان</t>
  </si>
  <si>
    <t>الشتر</t>
  </si>
  <si>
    <t>فروشگاه الشتر شهرداری</t>
  </si>
  <si>
    <t>OKS07054</t>
  </si>
  <si>
    <t>اکالا</t>
  </si>
  <si>
    <t>---</t>
  </si>
  <si>
    <t>محسن ملکی</t>
  </si>
  <si>
    <t>فرانچایز خرم آباد اسدآبادی دو</t>
  </si>
  <si>
    <t>OKS06697</t>
  </si>
  <si>
    <t>مصطفی سیفی</t>
  </si>
  <si>
    <t>فرانچایز خرم آباد خاتم الانبیا دو</t>
  </si>
  <si>
    <t>OKS09644</t>
  </si>
  <si>
    <t>سامان بسطامی</t>
  </si>
  <si>
    <t>فرانچایز خرم آباد دره گرم بوستان</t>
  </si>
  <si>
    <t>OKS09154</t>
  </si>
  <si>
    <t>OKS09238</t>
  </si>
  <si>
    <t>فرانچایز خرم آباد فاز دو ناصر خسرو</t>
  </si>
  <si>
    <t>OKS04019</t>
  </si>
  <si>
    <t>فرانچایز خرم آباد مهستان</t>
  </si>
  <si>
    <t>OKS08953</t>
  </si>
  <si>
    <t>فروشگاه خرم آباد بابک</t>
  </si>
  <si>
    <t>OKS07927</t>
  </si>
  <si>
    <t>فروشگاه خرم آباد بلوار شصت متری</t>
  </si>
  <si>
    <t>OKS04382</t>
  </si>
  <si>
    <t>فروشگاه خرم آباد خیابان علوی</t>
  </si>
  <si>
    <t>OKS08496</t>
  </si>
  <si>
    <t>فروشگاه خرم آباد دره گرم</t>
  </si>
  <si>
    <t>OKS07979</t>
  </si>
  <si>
    <t>فروشگاه خرم آباد فردوسی</t>
  </si>
  <si>
    <t>OKS00766</t>
  </si>
  <si>
    <t>محمد شاکری</t>
  </si>
  <si>
    <t>فروشگاه خرم آباد قاضی آباد دو</t>
  </si>
  <si>
    <t>OKS02295</t>
  </si>
  <si>
    <t>فروشگاه خرم آباد ولیعصر</t>
  </si>
  <si>
    <t>OKS00683</t>
  </si>
  <si>
    <t>فروشگاه دلفان خیابان رجایی</t>
  </si>
  <si>
    <t>OKS08488</t>
  </si>
  <si>
    <t>میثم جلالوند</t>
  </si>
  <si>
    <t>فروشگاه دلفان خیابان مدرس</t>
  </si>
  <si>
    <t>OKS05974</t>
  </si>
  <si>
    <t xml:space="preserve">سوپروایزر  </t>
  </si>
  <si>
    <t>Grand Total</t>
  </si>
  <si>
    <t xml:space="preserve">  ثبتی</t>
  </si>
  <si>
    <t xml:space="preserve"> تحویلی</t>
  </si>
  <si>
    <t xml:space="preserve"> تاخیر</t>
  </si>
  <si>
    <t xml:space="preserve"> ناموجودی</t>
  </si>
  <si>
    <t xml:space="preserve"> کنسلی به دلیل تاخیر</t>
  </si>
  <si>
    <t xml:space="preserve"> عدم جمع‌آوری</t>
  </si>
  <si>
    <t xml:space="preserve">  جورچینی</t>
  </si>
  <si>
    <t xml:space="preserve">  انتظار جورچین</t>
  </si>
  <si>
    <t>(All)</t>
  </si>
  <si>
    <t>محمدکاظم بستامی</t>
  </si>
  <si>
    <t>مرتضی رضایی</t>
  </si>
  <si>
    <t>علی ابراهیمی</t>
  </si>
  <si>
    <t>Column1</t>
  </si>
  <si>
    <t xml:space="preserve"> مرجوعی</t>
  </si>
  <si>
    <t xml:space="preserve">تاخیر </t>
  </si>
  <si>
    <t>تاریخ</t>
  </si>
  <si>
    <t>زمان</t>
  </si>
  <si>
    <t>منطقه</t>
  </si>
  <si>
    <t>mdStoreSN</t>
  </si>
  <si>
    <t>InventLocationID</t>
  </si>
  <si>
    <t>فروشگاه</t>
  </si>
  <si>
    <t>OrderCode</t>
  </si>
  <si>
    <t>SalesChannel</t>
  </si>
  <si>
    <t>Level1</t>
  </si>
  <si>
    <t>Level2</t>
  </si>
  <si>
    <t>Level3</t>
  </si>
  <si>
    <t>Level4</t>
  </si>
  <si>
    <t>Level5</t>
  </si>
  <si>
    <t>بارکد ناموجود</t>
  </si>
  <si>
    <t>کالای ناموجود</t>
  </si>
  <si>
    <t>بارکد جایگزین</t>
  </si>
  <si>
    <t>کالای جایگزین</t>
  </si>
  <si>
    <t>تعداد کالای جایگزین</t>
  </si>
  <si>
    <t>Dry Food</t>
  </si>
  <si>
    <t>OrderPartId</t>
  </si>
  <si>
    <t>OrderId</t>
  </si>
  <si>
    <t>Title</t>
  </si>
  <si>
    <t>Refund Quantity</t>
  </si>
  <si>
    <t>Qauntity</t>
  </si>
  <si>
    <t>Shipping Date</t>
  </si>
  <si>
    <t>Refund Date</t>
  </si>
  <si>
    <t>Item Name</t>
  </si>
  <si>
    <t>Code</t>
  </si>
  <si>
    <t>Store Name</t>
  </si>
  <si>
    <t>Barcode</t>
  </si>
  <si>
    <t>عدم ارسال کالای  منظور شده در فاکتور</t>
  </si>
  <si>
    <t>OKS10216</t>
  </si>
  <si>
    <t>OKS05372</t>
  </si>
  <si>
    <t>OKS08239</t>
  </si>
  <si>
    <t>OKS00634</t>
  </si>
  <si>
    <t>یونس آزادبخت</t>
  </si>
  <si>
    <t>فروشگاه کوهدشت بوعلی</t>
  </si>
  <si>
    <t xml:space="preserve"> نسبت تحویلی به ثبتی</t>
  </si>
  <si>
    <t>0</t>
  </si>
  <si>
    <t>1</t>
  </si>
  <si>
    <t>OPSS</t>
  </si>
  <si>
    <t>لبنيات</t>
  </si>
  <si>
    <t>Hours</t>
  </si>
  <si>
    <t>فروشگاه کوهدشت مالک اشتر</t>
  </si>
  <si>
    <t>فروشگاه کوهدشت شهبازی</t>
  </si>
  <si>
    <t>فروشگاه کوهدشت باهنر</t>
  </si>
  <si>
    <t>Vendor Price</t>
  </si>
  <si>
    <t>Refund Price</t>
  </si>
  <si>
    <t>Row Price</t>
  </si>
  <si>
    <t>Refund Row Price (Customer)</t>
  </si>
  <si>
    <t>Refund Row Price (Vendor)</t>
  </si>
  <si>
    <t>Vendor Row Price</t>
  </si>
  <si>
    <t>UserKey</t>
  </si>
  <si>
    <t>Category2</t>
  </si>
  <si>
    <t>Legacy StoreId</t>
  </si>
  <si>
    <t xml:space="preserve"> VendorLegacyId</t>
  </si>
  <si>
    <t>Vendor</t>
  </si>
  <si>
    <t>City</t>
  </si>
  <si>
    <t>Province</t>
  </si>
  <si>
    <t>Tenant</t>
  </si>
  <si>
    <t>DeliveryProviderName</t>
  </si>
  <si>
    <t>CourierName</t>
  </si>
  <si>
    <t>CourierMobile</t>
  </si>
  <si>
    <t>Refund By</t>
  </si>
  <si>
    <t>افق کوروش</t>
  </si>
  <si>
    <t>Alopeyk</t>
  </si>
  <si>
    <t>Unknown User</t>
  </si>
  <si>
    <t>فرانچايز خرم آباد فاز دو ناصر خسرو</t>
  </si>
  <si>
    <t>فروشگاه خرم آباد بلوار شصت متري</t>
  </si>
  <si>
    <t>ماکاروني و رشته</t>
  </si>
  <si>
    <t>ماکاروني و اسپاگتي</t>
  </si>
  <si>
    <t>ماکاروني</t>
  </si>
  <si>
    <t>OKS07363</t>
  </si>
  <si>
    <t/>
  </si>
  <si>
    <t>Unknown Liability</t>
  </si>
  <si>
    <t>RefundLiability</t>
  </si>
  <si>
    <t>UserAttachments</t>
  </si>
  <si>
    <t xml:space="preserve">  درصد تاخیر    </t>
  </si>
  <si>
    <t xml:space="preserve">  درصد ناموجودی     </t>
  </si>
  <si>
    <t>Okala</t>
  </si>
  <si>
    <t>فرانچايز خرم آباد شهرک آذربايجان</t>
  </si>
  <si>
    <t>185919930</t>
  </si>
  <si>
    <t>Beverages</t>
  </si>
  <si>
    <t>نوشيدني گازدار</t>
  </si>
  <si>
    <t>نوشابه انرژي زا</t>
  </si>
  <si>
    <t>نوشابه انرژي زا قوطي کوچک</t>
  </si>
  <si>
    <t>نوشابه انرژي زا قوطي کلاسيک کوچک</t>
  </si>
  <si>
    <t>6261422504543</t>
  </si>
  <si>
    <t>نوشابه انرژي زا 240 سي سي فاير پاور</t>
  </si>
  <si>
    <t>185990742</t>
  </si>
  <si>
    <t>DPH</t>
  </si>
  <si>
    <t>شوينده منسوجات</t>
  </si>
  <si>
    <t>پودر و قرص لباسشويي</t>
  </si>
  <si>
    <t>پودر لباسشويي دستي</t>
  </si>
  <si>
    <t>پودر لباسشويي دستي کوچک</t>
  </si>
  <si>
    <t>6261005001414</t>
  </si>
  <si>
    <t>پودر لباسشويي دستي 500DNAگرمي يکتا</t>
  </si>
  <si>
    <t>بهداشت خانگي</t>
  </si>
  <si>
    <t>سفيد کننده و ضدعفوني کننده</t>
  </si>
  <si>
    <t>مايع سفيدکننده</t>
  </si>
  <si>
    <t>مايع سفيدکننده رقيق بزرگ</t>
  </si>
  <si>
    <t>6263414004482</t>
  </si>
  <si>
    <t>‏مايع سفيدکننده بارايحه لاوندر 4000 گرمي تاژ</t>
  </si>
  <si>
    <t>185999160</t>
  </si>
  <si>
    <t>پودر لباسشويي ماشيني</t>
  </si>
  <si>
    <t>پودر لباسشويي ماشيني کوچک</t>
  </si>
  <si>
    <t>6261101221310</t>
  </si>
  <si>
    <t>پودر لباسشويي ماشيني 500 گرمي سپيد 5</t>
  </si>
  <si>
    <t>فروشگاه خرم آباد فردوسي</t>
  </si>
  <si>
    <t>185920086</t>
  </si>
  <si>
    <t>6260010533620</t>
  </si>
  <si>
    <t>پودر لباسشويي دستي با کف فراوان 500 گرمي سافتلن</t>
  </si>
  <si>
    <t>فرانچايز خرم آباد خاتم الانبيا دو</t>
  </si>
  <si>
    <t>186169388</t>
  </si>
  <si>
    <t>غلات و حبوبات</t>
  </si>
  <si>
    <t>غلات</t>
  </si>
  <si>
    <t>سويا</t>
  </si>
  <si>
    <t>سويا ريز</t>
  </si>
  <si>
    <t>6260147601360</t>
  </si>
  <si>
    <t>سويا پروتئين ريز دانه 250 گرمي سبحان</t>
  </si>
  <si>
    <t>2</t>
  </si>
  <si>
    <t>ماکاروني فرمي سبزيجات</t>
  </si>
  <si>
    <t>6260171519907</t>
  </si>
  <si>
    <t>ماکاروني فرمي مته اي سبزيجات 500 گرمي مانا</t>
  </si>
  <si>
    <t>فروشگاه دلفان خيابان رجايي</t>
  </si>
  <si>
    <t>186157372</t>
  </si>
  <si>
    <t>تنقلات</t>
  </si>
  <si>
    <t>بيسکويت و ويفر</t>
  </si>
  <si>
    <t>ويفر روکش دار</t>
  </si>
  <si>
    <t>ويفر روکش دار کوچک</t>
  </si>
  <si>
    <t>6260360001831</t>
  </si>
  <si>
    <t>ويفر با روکش شکلات شيري 32 گرمي کوپا</t>
  </si>
  <si>
    <t>بيسکويت گندم</t>
  </si>
  <si>
    <t>بيسکويت گندم غير پذيرايي</t>
  </si>
  <si>
    <t>6260360006072</t>
  </si>
  <si>
    <t>بيسکويت سبوسدار شکلاتي کرمدار 85 گرمي کوپا</t>
  </si>
  <si>
    <t>186273068</t>
  </si>
  <si>
    <t>186471905</t>
  </si>
  <si>
    <t>قند و شکر و نبات</t>
  </si>
  <si>
    <t>نقل و نبات</t>
  </si>
  <si>
    <t>ني نبات</t>
  </si>
  <si>
    <t>ني نبات ساده</t>
  </si>
  <si>
    <t>6269303400298</t>
  </si>
  <si>
    <t>ني نبات ساده 1000 گرمي هم خوان</t>
  </si>
  <si>
    <t>186476463</t>
  </si>
  <si>
    <t>ادويه و افزودني ها</t>
  </si>
  <si>
    <t>ادويه جات</t>
  </si>
  <si>
    <t>ادويه</t>
  </si>
  <si>
    <t>پودر سير</t>
  </si>
  <si>
    <t>6262758200970</t>
  </si>
  <si>
    <t>پودر سير 90 گرمي سانتين</t>
  </si>
  <si>
    <t>فرانچايز خرم آباد مهستان</t>
  </si>
  <si>
    <t>187098291</t>
  </si>
  <si>
    <t>شوينده ظروف</t>
  </si>
  <si>
    <t>مايعات ظرفشويي</t>
  </si>
  <si>
    <t>مايع ظرفشويي</t>
  </si>
  <si>
    <t>مايع ظرفشويي کوچک</t>
  </si>
  <si>
    <t>6269211301021</t>
  </si>
  <si>
    <t>مايع ظرفشويي با رايحه ليمو 1 ليتري تست</t>
  </si>
  <si>
    <t>6263430600200</t>
  </si>
  <si>
    <t>مايع ظرفشويي پرتقال 1000 گرمي دورتو</t>
  </si>
  <si>
    <t>فرانچايز خرم آباد اسدآبادي دو</t>
  </si>
  <si>
    <t>187204472</t>
  </si>
  <si>
    <t>پروتئيني</t>
  </si>
  <si>
    <t>گوشت مرغ</t>
  </si>
  <si>
    <t>مرغ کامل گرم</t>
  </si>
  <si>
    <t>مرغ کامل گرم بزرگ</t>
  </si>
  <si>
    <t>6263932809941</t>
  </si>
  <si>
    <t>مرغ کامل با پوست 2000گرمي آوا پروتئين</t>
  </si>
  <si>
    <t>187212004</t>
  </si>
  <si>
    <t>فرانچايز خرم آباد خيابان ساحلي</t>
  </si>
  <si>
    <t>187181358</t>
  </si>
  <si>
    <t>6263932810169</t>
  </si>
  <si>
    <t>مرغ کامل با پوست 1800گرمي آوا پروتئين</t>
  </si>
  <si>
    <t>9799648723099</t>
  </si>
  <si>
    <t>مرغ گرم کامل فله 1000</t>
  </si>
  <si>
    <t>187181504</t>
  </si>
  <si>
    <t>187185869</t>
  </si>
  <si>
    <t>6260177304675</t>
  </si>
  <si>
    <t>نوشابه انرژي زا 250 سي سي وان دي</t>
  </si>
  <si>
    <t>6269705400162</t>
  </si>
  <si>
    <t>نوشيدني انرژي زا 250 سي سي تي رکس</t>
  </si>
  <si>
    <t>187460348</t>
  </si>
  <si>
    <t>188268259</t>
  </si>
  <si>
    <t>نوشيدني بدون  گاز</t>
  </si>
  <si>
    <t>آبميوه</t>
  </si>
  <si>
    <t>آبميوه کوچک</t>
  </si>
  <si>
    <t>آبميوه ميوه ترش کوچک</t>
  </si>
  <si>
    <t>6261939921475</t>
  </si>
  <si>
    <t>آبميوه قوطي مخلوط انار تمشک 240 سي سي ساني نس</t>
  </si>
  <si>
    <t>6261939913159</t>
  </si>
  <si>
    <t>آبميوه قوطي پرتقال پالپ دار 240 سي سي ساني نس</t>
  </si>
  <si>
    <t>188368297</t>
  </si>
  <si>
    <t>سوسيس و کالباس</t>
  </si>
  <si>
    <t>سوسيس گوشت</t>
  </si>
  <si>
    <t>کوکتل گوشت</t>
  </si>
  <si>
    <t>کوکتل گوشت درصد متوسط</t>
  </si>
  <si>
    <t>6260161400970</t>
  </si>
  <si>
    <t>سوسيس کوکتل 55 درصد گوشت 500 گرمي کاله</t>
  </si>
  <si>
    <t>188532608</t>
  </si>
  <si>
    <t>سلولزي</t>
  </si>
  <si>
    <t>پوشک</t>
  </si>
  <si>
    <t>پوشک بچه</t>
  </si>
  <si>
    <t>پوشک بچه سايز 4</t>
  </si>
  <si>
    <t>6260834700802</t>
  </si>
  <si>
    <t>پوشک بچه سايز4 بزرگ 34 عددي ماي بي بي</t>
  </si>
  <si>
    <t>6266061104949</t>
  </si>
  <si>
    <t>پوشک بچه سه بعدي سايز 4 بزرگ 34 عددي مولفيکس</t>
  </si>
  <si>
    <t>فروشگاه الشتر شهرداري</t>
  </si>
  <si>
    <t>188863819</t>
  </si>
  <si>
    <t>6266282600015</t>
  </si>
  <si>
    <t>نوشابه انرژي زا 250 سي سي هپي لايف</t>
  </si>
  <si>
    <t>188221523</t>
  </si>
  <si>
    <t>شير طعم دار</t>
  </si>
  <si>
    <t>شير طعم دار بطري</t>
  </si>
  <si>
    <t>شير کاکائو بطري کوچک</t>
  </si>
  <si>
    <t>6260161525369</t>
  </si>
  <si>
    <t>شير کاکائو بطري 200 سي سي کاله</t>
  </si>
  <si>
    <t>6260161547743</t>
  </si>
  <si>
    <t>شير موز بطري 200 سي سي کاله</t>
  </si>
  <si>
    <t>188868311</t>
  </si>
  <si>
    <t>برنج</t>
  </si>
  <si>
    <t>برنج خارجي</t>
  </si>
  <si>
    <t>برنج هندي</t>
  </si>
  <si>
    <t>برنج هندي دولتي</t>
  </si>
  <si>
    <t>6262754024372</t>
  </si>
  <si>
    <t>برنج هندي 1509 دانه بلند 10 کيلوگرمي هايلي</t>
  </si>
  <si>
    <t xml:space="preserve">کد فروشگاه  </t>
  </si>
  <si>
    <t xml:space="preserve">نام فروشگاه   </t>
  </si>
  <si>
    <t xml:space="preserve">ناموجودی </t>
  </si>
  <si>
    <t>استرداد</t>
  </si>
  <si>
    <t>علی ابراهیمی نیا</t>
  </si>
  <si>
    <t>محمد کاظم بستامی</t>
  </si>
  <si>
    <t>مرتضی رضائی</t>
  </si>
  <si>
    <t>فیاض رحیم زاده دیالی</t>
  </si>
  <si>
    <t>دلفان</t>
  </si>
  <si>
    <t>فردوسی افق کوروش خرم آباد</t>
  </si>
  <si>
    <t>کوهدشت</t>
  </si>
  <si>
    <t>نوشابه کولا کوکاکولا 1.5 لیتری</t>
  </si>
  <si>
    <t>نوشابه سیاه</t>
  </si>
  <si>
    <t>6260265100264</t>
  </si>
  <si>
    <t>کیاوش الهی</t>
  </si>
  <si>
    <t>09032819519</t>
  </si>
  <si>
    <t>مغایرت وزن</t>
  </si>
  <si>
    <t>1405/05/11</t>
  </si>
  <si>
    <t>سوسیس آلمانی مرغ 40% حاوی 20% خمیر مرغ کیمبال 1 کیلوگرمی</t>
  </si>
  <si>
    <t>سوسیس</t>
  </si>
  <si>
    <t>6261076202758</t>
  </si>
  <si>
    <t>https://asset.okala.com/unsigned/rs:fill/size:0:0/quality:100/plain/s3://refund-images/3ac9e417-e808-4181-bc6a-b2affcdb73d6</t>
  </si>
  <si>
    <t>بوعلی افق کوروش کوهدشت</t>
  </si>
  <si>
    <t>امین گراوند</t>
  </si>
  <si>
    <t>09911941676</t>
  </si>
  <si>
    <t>کره اسپرید نیم چرب تاپ 100 گرمی</t>
  </si>
  <si>
    <t>کره حیوانی</t>
  </si>
  <si>
    <t>فرانچایز اسدآبادی دو افق کوروش خرم آباد</t>
  </si>
  <si>
    <t>6260223400696</t>
  </si>
  <si>
    <t>سهیل بیرانوند</t>
  </si>
  <si>
    <t>09922662061</t>
  </si>
  <si>
    <t xml:space="preserve"> </t>
  </si>
  <si>
    <t>جواد رستمی</t>
  </si>
  <si>
    <t>گزارش21-27 شهریور</t>
  </si>
  <si>
    <t>گزارش 27 شهریور - 3 مهر</t>
  </si>
  <si>
    <t>درصد تاخیر  21-27</t>
  </si>
  <si>
    <t>درصد ناموچودی   21-27</t>
  </si>
  <si>
    <t>استرداد 21-27</t>
  </si>
  <si>
    <t>تاخیر27-3</t>
  </si>
  <si>
    <t>ناموجودی 27-3</t>
  </si>
  <si>
    <t>استرداد 27-3</t>
  </si>
  <si>
    <t>-</t>
  </si>
  <si>
    <t xml:space="preserve">نام شعبه </t>
  </si>
  <si>
    <t>جواد رستمی2</t>
  </si>
  <si>
    <t xml:space="preserve">فیاض رحیم زاده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</si>
</sst>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%;\-0.0%;0.0%"/>
    <numFmt numFmtId="166" formatCode="0.00%;\-0.00%;0.00%"/>
    <numFmt numFmtId="167" formatCode="hh:mm:ss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BDC2C9"/>
      <name val="Shabnam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2" fillId="0" borderId="0" xfId="1" applyFont="1" applyAlignment="1">
      <alignment horizontal="center"/>
    </xf>
    <xf numFmtId="164" fontId="2" fillId="0" borderId="0" xfId="1" applyFont="1" applyAlignment="1">
      <alignment horizontal="center" wrapText="1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pivotButton="1" applyFont="1" applyAlignment="1">
      <alignment horizontal="center" vertical="center"/>
    </xf>
    <xf numFmtId="1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 vertical="center"/>
    </xf>
    <xf numFmtId="0" fontId="6" fillId="3" borderId="8" xfId="0" applyFont="1" applyFill="1" applyBorder="1" applyAlignment="1">
      <alignment readingOrder="2"/>
    </xf>
    <xf numFmtId="0" fontId="6" fillId="3" borderId="9" xfId="0" applyFont="1" applyFill="1" applyBorder="1" applyAlignment="1">
      <alignment readingOrder="2"/>
    </xf>
    <xf numFmtId="0" fontId="6" fillId="3" borderId="9" xfId="0" applyFont="1" applyFill="1" applyBorder="1"/>
    <xf numFmtId="0" fontId="6" fillId="3" borderId="7" xfId="0" applyFont="1" applyFill="1" applyBorder="1" applyAlignment="1">
      <alignment readingOrder="2"/>
    </xf>
    <xf numFmtId="1" fontId="4" fillId="0" borderId="0" xfId="0" pivotButton="1" applyNumberFormat="1" applyFont="1" applyAlignment="1">
      <alignment horizontal="center" vertical="center"/>
    </xf>
    <xf numFmtId="167" fontId="0" fillId="0" borderId="0" xfId="0" applyNumberFormat="1"/>
    <xf numFmtId="0" fontId="5" fillId="2" borderId="2" xfId="0" applyFont="1" applyFill="1" applyBorder="1"/>
    <xf numFmtId="0" fontId="5" fillId="2" borderId="1" xfId="0" applyFont="1" applyFill="1" applyBorder="1"/>
    <xf numFmtId="0" fontId="5" fillId="2" borderId="0" xfId="0" applyFont="1" applyFill="1"/>
    <xf numFmtId="0" fontId="9" fillId="0" borderId="0" xfId="0" applyFont="1"/>
    <xf numFmtId="164" fontId="2" fillId="0" borderId="0" xfId="1" applyFont="1" applyFill="1" applyAlignment="1">
      <alignment horizontal="center"/>
    </xf>
    <xf numFmtId="164" fontId="2" fillId="0" borderId="0" xfId="1" applyFont="1" applyFill="1" applyAlignment="1">
      <alignment horizont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wrapText="1"/>
    </xf>
    <xf numFmtId="0" fontId="8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/>
    <xf numFmtId="10" fontId="4" fillId="0" borderId="0" xfId="2" applyNumberFormat="1" applyFont="1" applyFill="1" applyAlignment="1">
      <alignment horizontal="center"/>
    </xf>
    <xf numFmtId="10" fontId="7" fillId="0" borderId="0" xfId="2" applyNumberFormat="1" applyFont="1" applyFill="1" applyBorder="1" applyAlignment="1">
      <alignment vertical="center"/>
    </xf>
    <xf numFmtId="10" fontId="1" fillId="0" borderId="0" xfId="2" applyNumberFormat="1" applyFont="1" applyFill="1"/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0" fontId="4" fillId="0" borderId="16" xfId="0" applyNumberFormat="1" applyFont="1" applyBorder="1" applyAlignment="1">
      <alignment horizontal="center" vertical="center"/>
    </xf>
    <xf numFmtId="10" fontId="4" fillId="0" borderId="16" xfId="2" applyNumberFormat="1" applyFont="1" applyFill="1" applyBorder="1" applyAlignment="1">
      <alignment horizontal="center" vertical="center"/>
    </xf>
    <xf numFmtId="10" fontId="4" fillId="0" borderId="1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0" fontId="4" fillId="0" borderId="18" xfId="0" applyNumberFormat="1" applyFont="1" applyBorder="1" applyAlignment="1">
      <alignment horizontal="center" vertical="center"/>
    </xf>
    <xf numFmtId="10" fontId="4" fillId="0" borderId="19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0" fontId="4" fillId="0" borderId="20" xfId="0" applyNumberFormat="1" applyFont="1" applyBorder="1" applyAlignment="1">
      <alignment horizontal="center" vertical="center"/>
    </xf>
    <xf numFmtId="10" fontId="4" fillId="0" borderId="21" xfId="0" applyNumberFormat="1" applyFont="1" applyBorder="1" applyAlignment="1">
      <alignment horizontal="center" vertical="center"/>
    </xf>
    <xf numFmtId="10" fontId="0" fillId="0" borderId="0" xfId="2" applyNumberFormat="1" applyFont="1"/>
    <xf numFmtId="0" fontId="4" fillId="0" borderId="6" xfId="0" pivotButton="1" applyFont="1" applyBorder="1" applyAlignment="1">
      <alignment horizontal="center" vertical="center"/>
    </xf>
    <xf numFmtId="10" fontId="0" fillId="0" borderId="0" xfId="0" applyNumberFormat="1"/>
    <xf numFmtId="10" fontId="4" fillId="0" borderId="25" xfId="0" applyNumberFormat="1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164" fontId="4" fillId="0" borderId="31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0" fontId="14" fillId="4" borderId="37" xfId="0" applyNumberFormat="1" applyFont="1" applyFill="1" applyBorder="1" applyAlignment="1">
      <alignment horizontal="center" vertical="center"/>
    </xf>
    <xf numFmtId="10" fontId="8" fillId="4" borderId="37" xfId="0" applyNumberFormat="1" applyFont="1" applyFill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/>
    </xf>
    <xf numFmtId="10" fontId="5" fillId="0" borderId="40" xfId="0" applyNumberFormat="1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0" fontId="4" fillId="0" borderId="16" xfId="2" applyNumberFormat="1" applyFont="1" applyBorder="1" applyAlignment="1">
      <alignment horizontal="center" vertical="center"/>
    </xf>
    <xf numFmtId="10" fontId="4" fillId="0" borderId="18" xfId="2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10" fontId="4" fillId="0" borderId="43" xfId="0" applyNumberFormat="1" applyFont="1" applyBorder="1" applyAlignment="1">
      <alignment horizontal="center" vertical="center"/>
    </xf>
    <xf numFmtId="10" fontId="4" fillId="0" borderId="43" xfId="2" applyNumberFormat="1" applyFont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/>
    </xf>
    <xf numFmtId="10" fontId="4" fillId="0" borderId="30" xfId="0" applyNumberFormat="1" applyFont="1" applyBorder="1" applyAlignment="1">
      <alignment horizontal="center" vertical="center"/>
    </xf>
    <xf numFmtId="10" fontId="4" fillId="0" borderId="6" xfId="2" applyNumberFormat="1" applyFont="1" applyBorder="1" applyAlignment="1">
      <alignment horizontal="center" vertical="center"/>
    </xf>
    <xf numFmtId="0" fontId="15" fillId="0" borderId="0" xfId="0" applyFont="1"/>
    <xf numFmtId="0" fontId="13" fillId="4" borderId="3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4" xfId="0" quotePrefix="1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 wrapText="1"/>
    </xf>
    <xf numFmtId="0" fontId="4" fillId="0" borderId="12" xfId="0" applyNumberFormat="1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>
      <alignment horizontal="center" vertical="center"/>
    </xf>
    <xf numFmtId="164" fontId="4" fillId="0" borderId="11" xfId="0" applyNumberFormat="1" applyFont="1" applyFill="1" applyBorder="1" applyAlignment="1">
      <alignment horizontal="center" vertical="center"/>
    </xf>
    <xf numFmtId="0" fontId="4" fillId="0" borderId="23" xfId="0" pivotButton="1" applyFont="1" applyBorder="1" applyAlignment="1">
      <alignment horizontal="center" vertical="center"/>
    </xf>
    <xf numFmtId="1" fontId="4" fillId="0" borderId="24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0" fontId="4" fillId="0" borderId="0" xfId="0" applyNumberFormat="1" applyFont="1" applyFill="1" applyBorder="1" applyAlignment="1">
      <alignment horizontal="center" vertical="center"/>
    </xf>
    <xf numFmtId="10" fontId="8" fillId="0" borderId="0" xfId="0" applyNumberFormat="1" applyFont="1" applyFill="1" applyBorder="1" applyAlignment="1">
      <alignment horizontal="center" vertical="center"/>
    </xf>
    <xf numFmtId="0" fontId="5" fillId="0" borderId="37" xfId="0" applyNumberFormat="1" applyFont="1" applyBorder="1" applyAlignment="1">
      <alignment horizontal="center" vertical="center"/>
    </xf>
    <xf numFmtId="0" fontId="5" fillId="0" borderId="38" xfId="0" applyNumberFormat="1" applyFont="1" applyFill="1" applyBorder="1" applyAlignment="1">
      <alignment horizontal="center" vertical="center"/>
    </xf>
    <xf numFmtId="0" fontId="5" fillId="0" borderId="39" xfId="0" applyNumberFormat="1" applyFont="1" applyFill="1" applyBorder="1" applyAlignment="1">
      <alignment horizontal="center" vertical="center"/>
    </xf>
    <xf numFmtId="164" fontId="5" fillId="0" borderId="36" xfId="0" applyNumberFormat="1" applyFont="1" applyFill="1" applyBorder="1" applyAlignment="1">
      <alignment horizontal="center" vertical="center"/>
    </xf>
    <xf numFmtId="0" fontId="5" fillId="0" borderId="37" xfId="0" applyNumberFormat="1" applyFont="1" applyBorder="1" applyAlignment="1">
      <alignment horizontal="center" vertical="center" wrapText="1"/>
    </xf>
    <xf numFmtId="0" fontId="4" fillId="0" borderId="23" xfId="0" applyNumberFormat="1" applyFont="1" applyBorder="1" applyAlignment="1">
      <alignment horizontal="center" vertical="center"/>
    </xf>
    <xf numFmtId="0" fontId="4" fillId="0" borderId="22" xfId="0" applyNumberFormat="1" applyFont="1" applyBorder="1" applyAlignment="1">
      <alignment horizontal="center" vertical="center"/>
    </xf>
    <xf numFmtId="0" fontId="4" fillId="0" borderId="26" xfId="0" applyNumberFormat="1" applyFont="1" applyFill="1" applyBorder="1" applyAlignment="1">
      <alignment horizontal="center" vertical="center"/>
    </xf>
    <xf numFmtId="10" fontId="4" fillId="0" borderId="22" xfId="0" applyNumberFormat="1" applyFont="1" applyFill="1" applyBorder="1" applyAlignment="1">
      <alignment horizontal="center" vertical="center"/>
    </xf>
    <xf numFmtId="0" fontId="4" fillId="0" borderId="27" xfId="0" applyNumberFormat="1" applyFont="1" applyFill="1" applyBorder="1" applyAlignment="1">
      <alignment horizontal="center" vertical="center"/>
    </xf>
    <xf numFmtId="10" fontId="8" fillId="0" borderId="22" xfId="0" applyNumberFormat="1" applyFont="1" applyFill="1" applyBorder="1" applyAlignment="1">
      <alignment horizontal="center" vertical="center"/>
    </xf>
    <xf numFmtId="164" fontId="4" fillId="0" borderId="28" xfId="0" applyNumberFormat="1" applyFont="1" applyFill="1" applyBorder="1" applyAlignment="1">
      <alignment horizontal="center" vertical="center"/>
    </xf>
    <xf numFmtId="0" fontId="4" fillId="0" borderId="22" xfId="0" applyNumberFormat="1" applyFont="1" applyBorder="1" applyAlignment="1">
      <alignment horizontal="center" vertical="center" wrapText="1"/>
    </xf>
    <xf numFmtId="0" fontId="4" fillId="0" borderId="24" xfId="0" applyNumberFormat="1" applyFont="1" applyBorder="1" applyAlignment="1">
      <alignment horizontal="center" vertical="center"/>
    </xf>
    <xf numFmtId="0" fontId="5" fillId="0" borderId="41" xfId="0" applyNumberFormat="1" applyFont="1" applyBorder="1" applyAlignment="1">
      <alignment horizontal="center" vertical="center"/>
    </xf>
    <xf numFmtId="1" fontId="5" fillId="0" borderId="30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10" fontId="4" fillId="0" borderId="31" xfId="0" applyNumberFormat="1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164" fontId="4" fillId="0" borderId="34" xfId="0" applyNumberFormat="1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340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alignment wrapText="1"/>
    </dxf>
    <dxf>
      <alignment wrapText="1"/>
    </dxf>
    <dxf>
      <alignment wrapText="1"/>
    </dxf>
    <dxf>
      <alignment wrapTex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1"/>
      </font>
    </dxf>
    <dxf>
      <font>
        <color theme="1"/>
      </font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ont>
        <color theme="1"/>
      </font>
    </dxf>
    <dxf>
      <font>
        <color theme="1"/>
      </font>
    </dxf>
    <dxf>
      <alignment vertical="center"/>
    </dxf>
    <dxf>
      <font>
        <color theme="1" tint="4.9989318521683403E-2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alignment wrapText="1"/>
    </dxf>
    <dxf>
      <alignment vertical="center"/>
    </dxf>
    <dxf>
      <alignment vertical="center"/>
    </dxf>
    <dxf>
      <numFmt numFmtId="14" formatCode="0.00%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14" formatCode="0.00%"/>
    </dxf>
    <dxf>
      <fill>
        <patternFill patternType="solid">
          <bgColor rgb="FFFFFF00"/>
        </patternFill>
      </fill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fill>
        <patternFill>
          <bgColor theme="4" tint="0.39997558519241921"/>
        </patternFill>
      </fill>
    </dxf>
    <dxf>
      <font>
        <color theme="0"/>
      </font>
    </dxf>
    <dxf>
      <font>
        <color theme="0"/>
      </font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4" formatCode="0.00%"/>
    </dxf>
    <dxf>
      <fill>
        <patternFill patternType="none">
          <bgColor auto="1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ont>
        <color theme="1"/>
      </font>
    </dxf>
    <dxf>
      <fill>
        <patternFill patternType="solid">
          <bgColor rgb="FFFF0000"/>
        </patternFill>
      </fill>
    </dxf>
    <dxf>
      <font>
        <color theme="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numFmt numFmtId="0" formatCode="General"/>
    </dxf>
    <dxf>
      <numFmt numFmtId="167" formatCode="hh:mm:ss"/>
    </dxf>
    <dxf>
      <numFmt numFmtId="1" formatCode="0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" formatCode="#,##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65" formatCode="0.0%;\-0.0%;0.0%"/>
    </dxf>
    <dxf>
      <numFmt numFmtId="3" formatCode="#,##0"/>
    </dxf>
    <dxf>
      <numFmt numFmtId="165" formatCode="0.0%;\-0.0%;0.0%"/>
    </dxf>
    <dxf>
      <numFmt numFmtId="3" formatCode="#,##0"/>
    </dxf>
    <dxf>
      <numFmt numFmtId="4" formatCode="#,##0.00"/>
    </dxf>
    <dxf>
      <numFmt numFmtId="3" formatCode="#,##0"/>
    </dxf>
    <dxf>
      <numFmt numFmtId="165" formatCode="0.0%;\-0.0%;0.0%"/>
    </dxf>
    <dxf>
      <numFmt numFmtId="3" formatCode="#,##0"/>
    </dxf>
    <dxf>
      <numFmt numFmtId="165" formatCode="0.0%;\-0.0%;0.0%"/>
    </dxf>
    <dxf>
      <numFmt numFmtId="3" formatCode="#,##0"/>
    </dxf>
    <dxf>
      <numFmt numFmtId="3" formatCode="#,##0"/>
    </dxf>
    <dxf>
      <numFmt numFmtId="166" formatCode="0.00%;\-0.00%;0.00%"/>
    </dxf>
    <dxf>
      <numFmt numFmtId="3" formatCode="#,##0"/>
    </dxf>
    <dxf>
      <numFmt numFmtId="166" formatCode="0.00%;\-0.00%;0.00%"/>
    </dxf>
    <dxf>
      <numFmt numFmtId="165" formatCode="0.0%;\-0.0%;0.0%"/>
    </dxf>
    <dxf>
      <numFmt numFmtId="165" formatCode="0.0%;\-0.0%;0.0%"/>
    </dxf>
    <dxf>
      <numFmt numFmtId="3" formatCode="#,##0"/>
    </dxf>
    <dxf>
      <numFmt numFmtId="3" formatCode="#,##0"/>
    </dxf>
    <dxf>
      <numFmt numFmtId="166" formatCode="0.00%;\-0.00%;0.00%"/>
    </dxf>
    <dxf>
      <numFmt numFmtId="3" formatCode="#,##0"/>
    </dxf>
    <dxf>
      <numFmt numFmtId="165" formatCode="0.0%;\-0.0%;0.0%"/>
    </dxf>
    <dxf>
      <numFmt numFmtId="1" formatCode="0"/>
    </dxf>
    <dxf>
      <numFmt numFmtId="1" formatCode="0"/>
    </dxf>
    <dxf>
      <numFmt numFmtId="3" formatCode="#,##0"/>
    </dxf>
    <dxf>
      <numFmt numFmtId="3" formatCode="#,##0"/>
    </dxf>
    <dxf>
      <numFmt numFmtId="165" formatCode="0.0%;\-0.0%;0.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5" formatCode="0.0%;\-0.0%;0.0%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</dxfs>
  <tableStyles count="0" defaultTableStyle="TableStyleMedium2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Bagheri.Shahin/Desktop/&#1575;&#1705;&#1587;&#1604;%20&#1607;&#1575;&#1740;%20&#1585;&#1608;&#1586;&#1605;&#1585;&#1607;/Copy%20of%2070&#1588;&#1593;&#1576;&#1607;%20&#1582;&#1585;&#1605;%20&#1570;&#1576;&#1575;&#1583;.xlsx" TargetMode="External"/><Relationship Id="rId2" Type="http://schemas.openxmlformats.org/officeDocument/2006/relationships/externalLinkPath" Target="file:///C:\Users\Bagheri.Shahin\Desktop\&#1575;&#1705;&#1587;&#1604;%20&#1607;&#1575;&#1740;%20&#1585;&#1608;&#1586;&#1605;&#1585;&#1607;\Copy%20of%2070&#1588;&#1593;&#1576;&#1607;%20&#1582;&#1585;&#1605;%20&#1570;&#1576;&#1575;&#1583;.xlsx" TargetMode="External"/><Relationship Id="rId1" Type="http://schemas.openxmlformats.org/officeDocument/2006/relationships/externalLinkPath" Target="/Users/Bagheri.Shahin/Desktop/&#1575;&#1705;&#1587;&#1604;%20&#1607;&#1575;&#1740;%20&#1585;&#1608;&#1586;&#1605;&#1585;&#1607;/Copy%20of%2070&#1588;&#1593;&#1576;&#1607;%20&#1582;&#1585;&#1605;%20&#1570;&#1576;&#1575;&#1583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Bagheri.Shahin/Desktop/Copy%20of%2070&#1588;&#1593;&#1576;&#1607;%20&#1582;&#1585;&#1605;%20&#1570;&#1576;&#1575;&#1583;.xlsx" TargetMode="External"/><Relationship Id="rId1" Type="http://schemas.openxmlformats.org/officeDocument/2006/relationships/externalLinkPath" Target="/Users/Bagheri.Shahin/Desktop/Copy%20of%2070&#1588;&#1593;&#1576;&#1607;%20&#1582;&#1585;&#1605;%20&#1570;&#1576;&#1575;&#158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شعب فعال"/>
    </sheetNames>
    <sheetDataSet>
      <sheetData sheetId="0" refreshError="1">
        <row r="1">
          <cell r="C1" t="str">
            <v>کد فروشگاه</v>
          </cell>
          <cell r="D1" t="str">
            <v>شهرستان</v>
          </cell>
          <cell r="E1" t="str">
            <v>فروشگاه</v>
          </cell>
          <cell r="F1" t="str">
            <v>سوپروایزر/معین</v>
          </cell>
        </row>
        <row r="2">
          <cell r="C2" t="str">
            <v>OKS07771</v>
          </cell>
          <cell r="D2" t="str">
            <v>دلفان</v>
          </cell>
          <cell r="E2" t="str">
            <v>فرانچایز دلفان برخوردار</v>
          </cell>
          <cell r="F2" t="str">
            <v xml:space="preserve">میثم جلالوند </v>
          </cell>
        </row>
        <row r="3">
          <cell r="C3" t="str">
            <v>OKS00019</v>
          </cell>
          <cell r="D3" t="str">
            <v>دلفان</v>
          </cell>
          <cell r="E3" t="str">
            <v>فروشگاه دلفان بهشتی</v>
          </cell>
          <cell r="F3" t="str">
            <v xml:space="preserve">میثم جلالوند </v>
          </cell>
        </row>
        <row r="4">
          <cell r="C4" t="str">
            <v>OKS05974</v>
          </cell>
          <cell r="D4" t="str">
            <v>دلفان</v>
          </cell>
          <cell r="E4" t="str">
            <v>فروشگاه دلفان خیابان مدرس</v>
          </cell>
          <cell r="F4" t="str">
            <v xml:space="preserve">میثم جلالوند </v>
          </cell>
        </row>
        <row r="5">
          <cell r="C5" t="str">
            <v>OKS08488</v>
          </cell>
          <cell r="D5" t="str">
            <v>دلفان</v>
          </cell>
          <cell r="E5" t="str">
            <v>فروشگاه دلفان خیابان رجایی</v>
          </cell>
          <cell r="F5" t="str">
            <v xml:space="preserve">میثم جلالوند </v>
          </cell>
        </row>
        <row r="6">
          <cell r="C6" t="str">
            <v>OKS11704</v>
          </cell>
          <cell r="D6" t="str">
            <v>دلفان</v>
          </cell>
          <cell r="E6" t="str">
            <v xml:space="preserve">فرانچایز دلفان خیابان آزادی </v>
          </cell>
          <cell r="F6" t="str">
            <v xml:space="preserve">میثم جلالوند </v>
          </cell>
        </row>
        <row r="7">
          <cell r="C7" t="str">
            <v>OKS08930</v>
          </cell>
          <cell r="D7" t="str">
            <v>دلفان</v>
          </cell>
          <cell r="E7" t="str">
            <v>فرانچایز دلفان میدان بسیج</v>
          </cell>
          <cell r="F7" t="str">
            <v xml:space="preserve">میثم جلالوند </v>
          </cell>
        </row>
        <row r="8">
          <cell r="C8" t="str">
            <v>OKS09578</v>
          </cell>
          <cell r="D8" t="str">
            <v>خرم آباد</v>
          </cell>
          <cell r="E8" t="str">
            <v>فرانچایز خرم آباد بازار میدان گپ</v>
          </cell>
          <cell r="F8" t="str">
            <v>مصطفی سیفی</v>
          </cell>
        </row>
        <row r="9">
          <cell r="C9" t="str">
            <v>OKS08755</v>
          </cell>
          <cell r="D9" t="str">
            <v>خرم آباد</v>
          </cell>
          <cell r="E9" t="str">
            <v>فرانچایز خرم آباد سه راه ناصرخسرو</v>
          </cell>
          <cell r="F9" t="str">
            <v>مصطفی سیفی</v>
          </cell>
        </row>
        <row r="10">
          <cell r="C10" t="str">
            <v>OKS10648</v>
          </cell>
          <cell r="D10" t="str">
            <v>خرم آباد</v>
          </cell>
          <cell r="E10" t="str">
            <v>فرانچایز خرم آباد چهارراه بانک</v>
          </cell>
          <cell r="F10" t="str">
            <v>مصطفی سیفی</v>
          </cell>
        </row>
        <row r="11">
          <cell r="C11" t="str">
            <v>OKS09812</v>
          </cell>
          <cell r="D11" t="str">
            <v>ایمان آباد</v>
          </cell>
          <cell r="E11" t="str">
            <v>فرانچایز خرم آباد ازنا ایمان آباد</v>
          </cell>
          <cell r="F11" t="str">
            <v>مصطفی سیفی</v>
          </cell>
        </row>
        <row r="12">
          <cell r="C12" t="str">
            <v>OKS08818</v>
          </cell>
          <cell r="D12" t="str">
            <v>خرم آباد</v>
          </cell>
          <cell r="E12" t="str">
            <v>فرانچایز خرم آباد خیابان بزرگمهر</v>
          </cell>
          <cell r="F12" t="str">
            <v>مصطفی سیفی</v>
          </cell>
        </row>
        <row r="13">
          <cell r="C13" t="str">
            <v>OKS02295</v>
          </cell>
          <cell r="D13" t="str">
            <v>خرم آباد</v>
          </cell>
          <cell r="E13" t="str">
            <v>فروشگاه خرم آباد قاضی آباد دو</v>
          </cell>
          <cell r="F13" t="str">
            <v>مصطفی سیفی</v>
          </cell>
        </row>
        <row r="14">
          <cell r="C14" t="str">
            <v>OKS07381</v>
          </cell>
          <cell r="D14" t="str">
            <v>خرم آباد</v>
          </cell>
          <cell r="E14" t="str">
            <v>فرانچایز خرم آباد قاضی آباد</v>
          </cell>
          <cell r="F14" t="str">
            <v>مصطفی سیفی</v>
          </cell>
        </row>
        <row r="15">
          <cell r="C15" t="str">
            <v>OKS06697</v>
          </cell>
          <cell r="D15" t="str">
            <v>خرم آباد</v>
          </cell>
          <cell r="E15" t="str">
            <v>فرانچایز خرم آباد اسدآبادی دو</v>
          </cell>
          <cell r="F15" t="str">
            <v>مصطفی سیفی</v>
          </cell>
        </row>
        <row r="16">
          <cell r="C16" t="str">
            <v>OKS01576</v>
          </cell>
          <cell r="D16" t="str">
            <v>خرم آباد</v>
          </cell>
          <cell r="E16" t="str">
            <v>فرانچایز خرم آباد کوی ارتش</v>
          </cell>
          <cell r="F16" t="str">
            <v>مرتضی رضایی</v>
          </cell>
        </row>
        <row r="17">
          <cell r="C17" t="str">
            <v>OKS09634</v>
          </cell>
          <cell r="D17" t="str">
            <v>خرم آباد</v>
          </cell>
          <cell r="E17" t="str">
            <v>فرانچایز خرم آباد 60متری پردیسان</v>
          </cell>
          <cell r="F17" t="str">
            <v>مرتضی رضایی</v>
          </cell>
        </row>
        <row r="18">
          <cell r="C18" t="str">
            <v>OKS08972</v>
          </cell>
          <cell r="D18" t="str">
            <v>خرم آباد</v>
          </cell>
          <cell r="E18" t="str">
            <v>فرانچایز خرم آباد چهارراه پژوهنده</v>
          </cell>
          <cell r="F18" t="str">
            <v>مرتضی رضایی</v>
          </cell>
        </row>
        <row r="19">
          <cell r="C19" t="str">
            <v>OKS10650</v>
          </cell>
          <cell r="D19" t="str">
            <v>خرم آباد</v>
          </cell>
          <cell r="E19" t="str">
            <v>فرانچایز خرم آباد 20متری</v>
          </cell>
          <cell r="F19" t="str">
            <v>مرتضی رضایی</v>
          </cell>
        </row>
        <row r="20">
          <cell r="C20" t="str">
            <v>OKS10333</v>
          </cell>
          <cell r="D20" t="str">
            <v>خرم آباد</v>
          </cell>
          <cell r="E20" t="str">
            <v>فرانچایز خرم آباد خیابان دهخدا</v>
          </cell>
          <cell r="F20" t="str">
            <v>مرتضی رضایی</v>
          </cell>
        </row>
        <row r="21">
          <cell r="C21" t="str">
            <v>OKS09644</v>
          </cell>
          <cell r="D21" t="str">
            <v>خرم آباد</v>
          </cell>
          <cell r="E21" t="str">
            <v>فرانچایز خرم آباد خاتم الانبیا دو</v>
          </cell>
          <cell r="F21" t="str">
            <v>مرتضی رضایی</v>
          </cell>
        </row>
        <row r="22">
          <cell r="C22" t="str">
            <v>OKS04019</v>
          </cell>
          <cell r="D22" t="str">
            <v>خرم آباد</v>
          </cell>
          <cell r="E22" t="str">
            <v>فرانچایز خرم آباد فاز دو ناصر خسرو</v>
          </cell>
          <cell r="F22" t="str">
            <v>مرتضی رضایی</v>
          </cell>
        </row>
        <row r="23">
          <cell r="C23" t="str">
            <v>OKS07927</v>
          </cell>
          <cell r="D23" t="str">
            <v>خرم آباد</v>
          </cell>
          <cell r="E23" t="str">
            <v>فروشگاه خرم آباد بابک</v>
          </cell>
          <cell r="F23" t="str">
            <v>مرتضی رضایی</v>
          </cell>
        </row>
        <row r="24">
          <cell r="C24" t="str">
            <v>OKS09238</v>
          </cell>
          <cell r="D24" t="str">
            <v>خرم آباد</v>
          </cell>
          <cell r="E24" t="str">
            <v>فرانچایز خرم آباد شهرک آذربایجان</v>
          </cell>
          <cell r="F24" t="str">
            <v>محمد کاظم بستامی</v>
          </cell>
        </row>
        <row r="25">
          <cell r="C25" t="str">
            <v>OKS08953</v>
          </cell>
          <cell r="D25" t="str">
            <v>خرم آباد</v>
          </cell>
          <cell r="E25" t="str">
            <v>فرانچایز خرم آباد مهستان</v>
          </cell>
          <cell r="F25" t="str">
            <v>محمد کاظم بستامی</v>
          </cell>
        </row>
        <row r="26">
          <cell r="C26" t="str">
            <v>OKS02596</v>
          </cell>
          <cell r="D26" t="str">
            <v>خرم آباد</v>
          </cell>
          <cell r="E26" t="str">
            <v>فرانچایز خرم آباد میدان بیست و دو بهمن</v>
          </cell>
          <cell r="F26" t="str">
            <v>محمد کاظم بستامی</v>
          </cell>
        </row>
        <row r="27">
          <cell r="C27" t="str">
            <v>OKS09154</v>
          </cell>
          <cell r="D27" t="str">
            <v>خرم آباد</v>
          </cell>
          <cell r="E27" t="str">
            <v>فرانچایز خرم آباد دره گرم بوستان</v>
          </cell>
          <cell r="F27" t="str">
            <v>محمد کاظم بستامی</v>
          </cell>
        </row>
        <row r="28">
          <cell r="C28" t="str">
            <v>OKS10474</v>
          </cell>
          <cell r="D28" t="str">
            <v>خرم آباد</v>
          </cell>
          <cell r="E28" t="str">
            <v>فرانچایز خرم آباد دره گرم گلستان</v>
          </cell>
          <cell r="F28" t="str">
            <v>محمد کاظم بستامی</v>
          </cell>
        </row>
        <row r="29">
          <cell r="C29" t="str">
            <v>OKS04382</v>
          </cell>
          <cell r="D29" t="str">
            <v>خرم آباد</v>
          </cell>
          <cell r="E29" t="str">
            <v>فروشگاه خرم آباد بلوار شصت متری</v>
          </cell>
          <cell r="F29" t="str">
            <v>محمد کاظم بستامی</v>
          </cell>
        </row>
        <row r="30">
          <cell r="C30" t="str">
            <v>OKS11055</v>
          </cell>
          <cell r="D30" t="str">
            <v>خرم آباد</v>
          </cell>
          <cell r="E30" t="str">
            <v>فرانچایز خرم آباد بلوار بهارستان دو</v>
          </cell>
          <cell r="F30" t="str">
            <v>محمد شاکری</v>
          </cell>
        </row>
        <row r="31">
          <cell r="C31" t="str">
            <v>OKS09620</v>
          </cell>
          <cell r="D31" t="str">
            <v>خرم آباد</v>
          </cell>
          <cell r="E31" t="str">
            <v>فرانچایز خرم آباد چهار راه ارم</v>
          </cell>
          <cell r="F31" t="str">
            <v>محمد شاکری</v>
          </cell>
        </row>
        <row r="32">
          <cell r="C32" t="str">
            <v>OKS10385</v>
          </cell>
          <cell r="D32" t="str">
            <v>خرم آباد</v>
          </cell>
          <cell r="E32" t="str">
            <v>فرانچایز خرم آباد گلدشت تامین اجتماعی دو</v>
          </cell>
          <cell r="F32" t="str">
            <v>محمد شاکری</v>
          </cell>
        </row>
        <row r="33">
          <cell r="C33" t="str">
            <v>OKS05752</v>
          </cell>
          <cell r="D33" t="str">
            <v>خرم آباد</v>
          </cell>
          <cell r="E33" t="str">
            <v>فرانچایز خرم آباد گلدشت غربی دو</v>
          </cell>
          <cell r="F33" t="str">
            <v>محمد شاکری</v>
          </cell>
        </row>
        <row r="34">
          <cell r="C34" t="str">
            <v>OKS10887</v>
          </cell>
          <cell r="D34" t="str">
            <v>خرم آباد</v>
          </cell>
          <cell r="E34" t="str">
            <v xml:space="preserve">فرانچایز خرم آباد باباطاهر </v>
          </cell>
          <cell r="F34" t="str">
            <v>محمد شاکری</v>
          </cell>
        </row>
        <row r="35">
          <cell r="C35" t="str">
            <v>OKS06816</v>
          </cell>
          <cell r="D35" t="str">
            <v>خرم آباد</v>
          </cell>
          <cell r="E35" t="str">
            <v>فرانچایز خرم آباد چهارباغ دو</v>
          </cell>
          <cell r="F35" t="str">
            <v>محمد شاکری</v>
          </cell>
        </row>
        <row r="36">
          <cell r="C36" t="str">
            <v>OKS10029</v>
          </cell>
          <cell r="D36" t="str">
            <v>خرم آباد</v>
          </cell>
          <cell r="E36" t="str">
            <v>فرانچایز خرم آباد خیابان فلسطین</v>
          </cell>
          <cell r="F36" t="str">
            <v>محمد شاکری</v>
          </cell>
        </row>
        <row r="37">
          <cell r="C37" t="str">
            <v>OKS11426</v>
          </cell>
          <cell r="D37" t="str">
            <v>خرم آباد</v>
          </cell>
          <cell r="E37" t="str">
            <v>فرانجایز خرم آباد خیابان شاپوری</v>
          </cell>
          <cell r="F37" t="str">
            <v>محمد شاکری</v>
          </cell>
        </row>
        <row r="38">
          <cell r="C38" t="str">
            <v>OKS11632</v>
          </cell>
          <cell r="D38" t="str">
            <v>خرم آباد</v>
          </cell>
          <cell r="E38" t="str">
            <v xml:space="preserve"> فرانچایز خرم آباد خیابان آبشار</v>
          </cell>
          <cell r="F38" t="str">
            <v>محسن ملکی</v>
          </cell>
        </row>
        <row r="39">
          <cell r="C39" t="str">
            <v>OKS07979</v>
          </cell>
          <cell r="D39" t="str">
            <v>خرم آباد</v>
          </cell>
          <cell r="E39" t="str">
            <v>فروشگاه خرم آباد دره گرم</v>
          </cell>
          <cell r="F39" t="str">
            <v>محسن ملکی</v>
          </cell>
        </row>
        <row r="40">
          <cell r="C40" t="str">
            <v>OKS10682</v>
          </cell>
          <cell r="D40" t="str">
            <v>الشتر</v>
          </cell>
          <cell r="E40" t="str">
            <v>فرانچایز الشتر چهارراه کفش ملی</v>
          </cell>
          <cell r="F40" t="str">
            <v>محسن ملکی</v>
          </cell>
        </row>
        <row r="41">
          <cell r="C41" t="str">
            <v>OKS07054</v>
          </cell>
          <cell r="D41" t="str">
            <v>الشتر</v>
          </cell>
          <cell r="E41" t="str">
            <v>فروشگاه الشتر شهرداری</v>
          </cell>
          <cell r="F41" t="str">
            <v>محسن ملکی</v>
          </cell>
        </row>
        <row r="42">
          <cell r="C42" t="str">
            <v>OKS01879</v>
          </cell>
          <cell r="D42" t="str">
            <v>الشتر</v>
          </cell>
          <cell r="E42" t="str">
            <v>فرانچایز الشتر آیت الله بروجردی</v>
          </cell>
          <cell r="F42" t="str">
            <v>محسن ملکی</v>
          </cell>
        </row>
        <row r="43">
          <cell r="C43" t="str">
            <v>OKS09989</v>
          </cell>
          <cell r="D43" t="str">
            <v>الشتر</v>
          </cell>
          <cell r="E43" t="str">
            <v>فرانچایز الشتر کوی آزادگان</v>
          </cell>
          <cell r="F43" t="str">
            <v>محسن ملکی</v>
          </cell>
        </row>
        <row r="44">
          <cell r="C44" t="str">
            <v>OKS10680</v>
          </cell>
          <cell r="D44" t="str">
            <v>الشتر</v>
          </cell>
          <cell r="E44" t="str">
            <v>فرانچایز الشتر بلوار شهید کلانتری</v>
          </cell>
          <cell r="F44" t="str">
            <v>محسن ملکی</v>
          </cell>
        </row>
        <row r="45">
          <cell r="C45" t="str">
            <v>OKS10216</v>
          </cell>
          <cell r="D45" t="str">
            <v>کوهدشت</v>
          </cell>
          <cell r="E45" t="str">
            <v>فروشگاه کوهدشت باهنر</v>
          </cell>
          <cell r="F45" t="str">
            <v xml:space="preserve">فیاض رحیم زاده </v>
          </cell>
        </row>
        <row r="46">
          <cell r="C46" t="str">
            <v>OKS00634</v>
          </cell>
          <cell r="D46" t="str">
            <v>کوهدشت</v>
          </cell>
          <cell r="E46" t="str">
            <v>فروشگاه کوهدشت مالک اشتر</v>
          </cell>
          <cell r="F46" t="str">
            <v xml:space="preserve">فیاض رحیم زاده </v>
          </cell>
        </row>
        <row r="47">
          <cell r="C47" t="str">
            <v>OKS07958</v>
          </cell>
          <cell r="D47" t="str">
            <v>کوهدشت</v>
          </cell>
          <cell r="E47" t="str">
            <v>فرانچایز کوهدشت کوهنانی</v>
          </cell>
          <cell r="F47" t="str">
            <v xml:space="preserve">فیاض رحیم زاده </v>
          </cell>
        </row>
        <row r="48">
          <cell r="C48" t="str">
            <v>OKS01297</v>
          </cell>
          <cell r="D48" t="str">
            <v>چقابل</v>
          </cell>
          <cell r="E48" t="str">
            <v>فرانچایز رومشکان</v>
          </cell>
          <cell r="F48" t="str">
            <v xml:space="preserve">فیاض رحیم زاده </v>
          </cell>
        </row>
        <row r="49">
          <cell r="C49" t="str">
            <v>OKS02476</v>
          </cell>
          <cell r="D49" t="str">
            <v>پلدختر</v>
          </cell>
          <cell r="E49" t="str">
            <v>فرانچایز پلدختر هفت تیر دو</v>
          </cell>
          <cell r="F49" t="str">
            <v xml:space="preserve">فیاض رحیم زاده </v>
          </cell>
        </row>
        <row r="50">
          <cell r="C50" t="str">
            <v>OKS06956</v>
          </cell>
          <cell r="D50" t="str">
            <v>پلدختر</v>
          </cell>
          <cell r="E50" t="str">
            <v>فرانچایز پلدختر امام خمینی (ره)</v>
          </cell>
          <cell r="F50" t="str">
            <v xml:space="preserve">فیاض رحیم زاده </v>
          </cell>
        </row>
        <row r="51">
          <cell r="C51" t="str">
            <v>oks10336</v>
          </cell>
          <cell r="D51" t="str">
            <v>پلدختر</v>
          </cell>
          <cell r="E51" t="str">
            <v>فرانچایز پلدختر چهارراه جهاد</v>
          </cell>
          <cell r="F51" t="str">
            <v xml:space="preserve">فیاض رحیم زاده </v>
          </cell>
        </row>
        <row r="52">
          <cell r="C52" t="str">
            <v>OKS10640</v>
          </cell>
          <cell r="D52" t="str">
            <v>پلدختر</v>
          </cell>
          <cell r="E52" t="str">
            <v>فرانچایز پلدختر کوی بسیجیان</v>
          </cell>
          <cell r="F52" t="str">
            <v xml:space="preserve">فیاض رحیم زاده </v>
          </cell>
        </row>
        <row r="53">
          <cell r="C53" t="str">
            <v>OKS09124</v>
          </cell>
          <cell r="D53" t="str">
            <v>خرم آباد</v>
          </cell>
          <cell r="E53" t="str">
            <v>فرانچایز خرم آباد شهرک حکمت دو</v>
          </cell>
          <cell r="F53" t="str">
            <v>علی ابراهیمی نیا</v>
          </cell>
        </row>
        <row r="54">
          <cell r="C54" t="str">
            <v>OKS07234</v>
          </cell>
          <cell r="D54" t="str">
            <v>خرم آباد</v>
          </cell>
          <cell r="E54" t="str">
            <v>فرانچایز خرم آباد تلوری دو</v>
          </cell>
          <cell r="F54" t="str">
            <v>علی ابراهیمی نیا</v>
          </cell>
        </row>
        <row r="55">
          <cell r="C55" t="str">
            <v>OKS00766</v>
          </cell>
          <cell r="D55" t="str">
            <v>خرم آباد</v>
          </cell>
          <cell r="E55" t="str">
            <v>فروشگاه خرم آباد فردوسی</v>
          </cell>
          <cell r="F55" t="str">
            <v>علی ابراهیمی نیا</v>
          </cell>
        </row>
        <row r="56">
          <cell r="C56" t="str">
            <v>OKS06722</v>
          </cell>
          <cell r="D56" t="str">
            <v>خرم آباد</v>
          </cell>
          <cell r="E56" t="str">
            <v>فرانچایز خرم آباد ماسور دو</v>
          </cell>
          <cell r="F56" t="str">
            <v>علی ابراهیمی نیا</v>
          </cell>
        </row>
        <row r="57">
          <cell r="C57" t="str">
            <v>OKS10962</v>
          </cell>
          <cell r="D57" t="str">
            <v>خرم آباد</v>
          </cell>
          <cell r="E57" t="str">
            <v>فرانچایز خرم آباد چهارراه ماسور</v>
          </cell>
          <cell r="F57" t="str">
            <v>علی ابراهیمی نیا</v>
          </cell>
        </row>
        <row r="58">
          <cell r="C58" t="str">
            <v>OKS10345</v>
          </cell>
          <cell r="D58" t="str">
            <v>دوره چگنی</v>
          </cell>
          <cell r="E58" t="str">
            <v>فرانچایز دوره چگنی خیابان رهبری</v>
          </cell>
          <cell r="F58" t="str">
            <v>علی ابراهیمی نیا</v>
          </cell>
        </row>
        <row r="59">
          <cell r="C59" t="str">
            <v>OKS10444</v>
          </cell>
          <cell r="D59" t="str">
            <v>ویسیان</v>
          </cell>
          <cell r="E59" t="str">
            <v xml:space="preserve">فرانچایز ویسیان بلوار ولیعصر </v>
          </cell>
          <cell r="F59" t="str">
            <v>علی ابراهیمی نیا</v>
          </cell>
        </row>
        <row r="60">
          <cell r="C60" t="str">
            <v>OKS09506</v>
          </cell>
          <cell r="D60" t="str">
            <v>معمولان</v>
          </cell>
          <cell r="E60" t="str">
            <v>فرانچایز معمولان خیابان امام دو</v>
          </cell>
          <cell r="F60" t="str">
            <v>علی ابراهیمی نیا</v>
          </cell>
        </row>
        <row r="61">
          <cell r="C61" t="str">
            <v>OKS08496</v>
          </cell>
          <cell r="D61" t="str">
            <v>خرم آباد</v>
          </cell>
          <cell r="E61" t="str">
            <v>فروشگاه خرم آباد خیابان علوی</v>
          </cell>
          <cell r="F61" t="str">
            <v>سامان بسطامی</v>
          </cell>
        </row>
        <row r="62">
          <cell r="C62" t="str">
            <v>OKS10077</v>
          </cell>
          <cell r="D62" t="str">
            <v>خرم آباد</v>
          </cell>
          <cell r="E62" t="str">
            <v>فرانچایز خرم آباد میدان امام دو</v>
          </cell>
          <cell r="F62" t="str">
            <v>سامان بسطامی</v>
          </cell>
        </row>
        <row r="63">
          <cell r="C63" t="str">
            <v>OKS07363</v>
          </cell>
          <cell r="D63" t="str">
            <v>خرم آباد</v>
          </cell>
          <cell r="E63" t="str">
            <v>فرانچایز خرم آباد خیابان ساحلی</v>
          </cell>
          <cell r="F63" t="str">
            <v>سامان بسطامی</v>
          </cell>
        </row>
        <row r="64">
          <cell r="C64" t="str">
            <v>OKS11559</v>
          </cell>
          <cell r="D64" t="str">
            <v>خرم آباد</v>
          </cell>
          <cell r="E64" t="str">
            <v xml:space="preserve"> فرانچایز خرم آباد میدان تیر</v>
          </cell>
          <cell r="F64" t="str">
            <v>سامان بسطامی</v>
          </cell>
        </row>
        <row r="65">
          <cell r="C65" t="str">
            <v>OKS11125</v>
          </cell>
          <cell r="D65" t="str">
            <v>خرم آباد</v>
          </cell>
          <cell r="E65" t="str">
            <v xml:space="preserve">فرانچايز خرم آباد ميدان کيو دو </v>
          </cell>
          <cell r="F65" t="str">
            <v>سامان بسطامی</v>
          </cell>
        </row>
        <row r="66">
          <cell r="C66" t="str">
            <v>OKS00683</v>
          </cell>
          <cell r="D66" t="str">
            <v>خرم آباد</v>
          </cell>
          <cell r="E66" t="str">
            <v>فروشگاه خرم آباد ولیعصر</v>
          </cell>
          <cell r="F66" t="str">
            <v>سامان بسطامی</v>
          </cell>
        </row>
        <row r="67">
          <cell r="C67" t="str">
            <v>OKS08113</v>
          </cell>
          <cell r="D67" t="str">
            <v>خرم آباد</v>
          </cell>
          <cell r="E67" t="str">
            <v>فرانچایز خرم آباد ژاندارمری</v>
          </cell>
          <cell r="F67" t="str">
            <v>سامان بسطامی</v>
          </cell>
        </row>
        <row r="68">
          <cell r="C68" t="str">
            <v>OKS07701</v>
          </cell>
          <cell r="D68" t="str">
            <v>کوهدشت</v>
          </cell>
          <cell r="E68" t="str">
            <v>فرانچایز کوهدشت بلوار خلیج فارس</v>
          </cell>
          <cell r="F68" t="str">
            <v>جواد رستمی</v>
          </cell>
        </row>
        <row r="69">
          <cell r="C69" t="str">
            <v>OKS05372</v>
          </cell>
          <cell r="D69" t="str">
            <v>کوهدشت</v>
          </cell>
          <cell r="E69" t="str">
            <v>فروشگاه کوهدشت شهبازی</v>
          </cell>
          <cell r="F69" t="str">
            <v>جواد رستمی</v>
          </cell>
        </row>
        <row r="70">
          <cell r="C70" t="str">
            <v>OKS08239</v>
          </cell>
          <cell r="D70" t="str">
            <v>کوهدشت</v>
          </cell>
          <cell r="E70" t="str">
            <v>فروشگاه کوهدشت بوعلی</v>
          </cell>
          <cell r="F70" t="str">
            <v>جواد رستمی</v>
          </cell>
        </row>
        <row r="71">
          <cell r="C71" t="str">
            <v>OKS10126</v>
          </cell>
          <cell r="D71" t="str">
            <v>کوهدشت</v>
          </cell>
          <cell r="E71" t="str">
            <v>فرانچایز کوهدشت شهرک امام</v>
          </cell>
          <cell r="F71" t="str">
            <v>جواد رستمی</v>
          </cell>
        </row>
        <row r="72">
          <cell r="C72" t="str">
            <v>OKS07487</v>
          </cell>
          <cell r="D72" t="str">
            <v>کوهدشت</v>
          </cell>
          <cell r="E72" t="str">
            <v>فرانچایز کوهدشت خیابان حسابی</v>
          </cell>
          <cell r="F72" t="str">
            <v>جواد رستمی</v>
          </cell>
        </row>
        <row r="73">
          <cell r="C73" t="str">
            <v>OKS09122</v>
          </cell>
          <cell r="D73" t="str">
            <v>کوهدشت</v>
          </cell>
          <cell r="E73" t="str">
            <v>فرانچایز کوهدشت میدان 22بهمن</v>
          </cell>
          <cell r="F73" t="str">
            <v>جواد رستمی</v>
          </cell>
        </row>
        <row r="74">
          <cell r="C74" t="str">
            <v>OKS08192</v>
          </cell>
          <cell r="D74" t="str">
            <v>کوهدشت</v>
          </cell>
          <cell r="E74" t="str">
            <v>فرانچایز کوهدشت ساحلی</v>
          </cell>
          <cell r="F74" t="str">
            <v>جواد رستمی</v>
          </cell>
        </row>
        <row r="75">
          <cell r="C75" t="str">
            <v>OKS06765</v>
          </cell>
          <cell r="D75" t="str">
            <v>کوهدشت</v>
          </cell>
          <cell r="E75" t="str">
            <v>فرانچایز کوهدشت دارایی</v>
          </cell>
          <cell r="F75" t="str">
            <v>جواد رستمی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شعب فعال"/>
    </sheetNames>
    <sheetDataSet>
      <sheetData sheetId="0">
        <row r="1">
          <cell r="A1" t="str">
            <v>ردیف</v>
          </cell>
        </row>
        <row r="2">
          <cell r="A2">
            <v>56</v>
          </cell>
        </row>
        <row r="3">
          <cell r="A3">
            <v>57</v>
          </cell>
        </row>
        <row r="4">
          <cell r="A4">
            <v>62</v>
          </cell>
        </row>
        <row r="5">
          <cell r="A5">
            <v>58</v>
          </cell>
        </row>
        <row r="6">
          <cell r="A6">
            <v>50</v>
          </cell>
        </row>
        <row r="7">
          <cell r="A7">
            <v>51</v>
          </cell>
        </row>
        <row r="8">
          <cell r="A8">
            <v>52</v>
          </cell>
        </row>
        <row r="9">
          <cell r="A9">
            <v>53</v>
          </cell>
        </row>
        <row r="10">
          <cell r="A10">
            <v>54</v>
          </cell>
        </row>
        <row r="11">
          <cell r="A11">
            <v>25</v>
          </cell>
        </row>
        <row r="12">
          <cell r="A12">
            <v>26</v>
          </cell>
        </row>
        <row r="13">
          <cell r="A13">
            <v>27</v>
          </cell>
        </row>
        <row r="14">
          <cell r="A14">
            <v>29</v>
          </cell>
        </row>
        <row r="15">
          <cell r="A15">
            <v>30</v>
          </cell>
        </row>
        <row r="16">
          <cell r="A16">
            <v>10</v>
          </cell>
        </row>
        <row r="17">
          <cell r="A17">
            <v>5</v>
          </cell>
        </row>
        <row r="18">
          <cell r="A18">
            <v>1</v>
          </cell>
        </row>
        <row r="19">
          <cell r="A19">
            <v>2</v>
          </cell>
        </row>
        <row r="20">
          <cell r="A20">
            <v>3</v>
          </cell>
        </row>
        <row r="21">
          <cell r="A21">
            <v>4</v>
          </cell>
        </row>
        <row r="22">
          <cell r="A22">
            <v>23</v>
          </cell>
        </row>
        <row r="23">
          <cell r="A23">
            <v>6</v>
          </cell>
        </row>
        <row r="24">
          <cell r="A24">
            <v>31</v>
          </cell>
        </row>
        <row r="25">
          <cell r="A25">
            <v>32</v>
          </cell>
        </row>
        <row r="26">
          <cell r="A26">
            <v>33</v>
          </cell>
        </row>
        <row r="27">
          <cell r="A27">
            <v>34</v>
          </cell>
        </row>
        <row r="28">
          <cell r="A28">
            <v>35</v>
          </cell>
        </row>
        <row r="29">
          <cell r="A29">
            <v>36</v>
          </cell>
        </row>
        <row r="30">
          <cell r="A30">
            <v>13</v>
          </cell>
        </row>
        <row r="31">
          <cell r="A31">
            <v>14</v>
          </cell>
        </row>
        <row r="32">
          <cell r="A32">
            <v>15</v>
          </cell>
        </row>
        <row r="33">
          <cell r="A33">
            <v>16</v>
          </cell>
        </row>
        <row r="34">
          <cell r="A34">
            <v>17</v>
          </cell>
        </row>
        <row r="35">
          <cell r="A35">
            <v>18</v>
          </cell>
        </row>
        <row r="36">
          <cell r="A36">
            <v>19</v>
          </cell>
        </row>
        <row r="37">
          <cell r="A37">
            <v>20</v>
          </cell>
        </row>
        <row r="38">
          <cell r="A38">
            <v>21</v>
          </cell>
        </row>
        <row r="39">
          <cell r="A39">
            <v>22</v>
          </cell>
        </row>
        <row r="40">
          <cell r="A40">
            <v>45</v>
          </cell>
        </row>
        <row r="41">
          <cell r="A41">
            <v>46</v>
          </cell>
        </row>
        <row r="42">
          <cell r="A42">
            <v>47</v>
          </cell>
        </row>
        <row r="43">
          <cell r="A43">
            <v>48</v>
          </cell>
        </row>
        <row r="44">
          <cell r="A44">
            <v>49</v>
          </cell>
        </row>
        <row r="45">
          <cell r="A45">
            <v>59</v>
          </cell>
        </row>
        <row r="46">
          <cell r="A46">
            <v>64</v>
          </cell>
        </row>
        <row r="47">
          <cell r="A47">
            <v>55</v>
          </cell>
        </row>
        <row r="48">
          <cell r="A48">
            <v>61</v>
          </cell>
        </row>
        <row r="49">
          <cell r="A49">
            <v>37</v>
          </cell>
        </row>
        <row r="50">
          <cell r="A50">
            <v>38</v>
          </cell>
        </row>
        <row r="51">
          <cell r="A51">
            <v>39</v>
          </cell>
        </row>
        <row r="52">
          <cell r="A52">
            <v>40</v>
          </cell>
        </row>
        <row r="53">
          <cell r="A53">
            <v>41</v>
          </cell>
        </row>
        <row r="54">
          <cell r="A54">
            <v>11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/>
        </row>
        <row r="58">
          <cell r="A58">
            <v>44</v>
          </cell>
        </row>
        <row r="59">
          <cell r="A59">
            <v>7</v>
          </cell>
        </row>
        <row r="60">
          <cell r="A60">
            <v>8</v>
          </cell>
        </row>
        <row r="61">
          <cell r="A61">
            <v>9</v>
          </cell>
        </row>
        <row r="62">
          <cell r="A62">
            <v>12</v>
          </cell>
        </row>
        <row r="63">
          <cell r="A63">
            <v>24</v>
          </cell>
        </row>
        <row r="64">
          <cell r="A64">
            <v>28</v>
          </cell>
        </row>
        <row r="65">
          <cell r="A65">
            <v>60</v>
          </cell>
        </row>
        <row r="66">
          <cell r="A66">
            <v>63</v>
          </cell>
        </row>
        <row r="67">
          <cell r="A67">
            <v>65</v>
          </cell>
        </row>
        <row r="68">
          <cell r="A68">
            <v>66</v>
          </cell>
        </row>
        <row r="69">
          <cell r="A69">
            <v>67</v>
          </cell>
        </row>
        <row r="70">
          <cell r="A70">
            <v>68</v>
          </cell>
        </row>
        <row r="71">
          <cell r="A71">
            <v>69</v>
          </cell>
        </row>
        <row r="72">
          <cell r="A72">
            <v>70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gheri, Shahin (OK)" refreshedDate="46237.358998148149" createdVersion="7" refreshedVersion="7" minRefreshableVersion="3" recordCount="26" xr:uid="{57774509-5D48-4701-9939-735D9C1E9470}">
  <cacheSource type="worksheet">
    <worksheetSource name="Table15"/>
  </cacheSource>
  <cacheFields count="21">
    <cacheField name="تاریخ" numFmtId="1">
      <sharedItems containsSemiMixedTypes="0" containsString="0" containsNumber="1" containsInteger="1" minValue="14050122" maxValue="14050323" count="26">
        <n v="14050305"/>
        <n v="14050306"/>
        <n v="14050307"/>
        <n v="14050308"/>
        <n v="14050312"/>
        <n v="14050313"/>
        <n v="14050314"/>
        <n v="14050319"/>
        <n v="14050320"/>
        <n v="14050321"/>
        <n v="14050323"/>
        <n v="14050123" u="1"/>
        <n v="14050202" u="1"/>
        <n v="14050131" u="1"/>
        <n v="14050124" u="1"/>
        <n v="14050203" u="1"/>
        <n v="14050125" u="1"/>
        <n v="14050204" u="1"/>
        <n v="14050126" u="1"/>
        <n v="14050228" u="1"/>
        <n v="14050127" u="1"/>
        <n v="14050128" u="1"/>
        <n v="14050129" u="1"/>
        <n v="14050122" u="1"/>
        <n v="14050201" u="1"/>
        <n v="14050130" u="1"/>
      </sharedItems>
    </cacheField>
    <cacheField name="زمان" numFmtId="167">
      <sharedItems containsSemiMixedTypes="0" containsNonDate="0" containsDate="1" containsString="0" minDate="2026-05-26T11:13:56" maxDate="2026-06-13T15:12:19" count="25">
        <d v="2026-05-26T11:14:05"/>
        <d v="2026-05-26T16:50:27"/>
        <d v="2026-05-26T16:38:16"/>
        <d v="2026-05-26T17:29:03"/>
        <d v="2026-05-26T11:13:56"/>
        <d v="2026-05-27T17:01:07"/>
        <d v="2026-05-27T15:53:13"/>
        <d v="2026-05-27T16:06:15"/>
        <d v="2026-05-28T12:06:13"/>
        <d v="2026-05-29T14:48:37"/>
        <d v="2026-05-29T15:17:46"/>
        <d v="2026-06-02T18:32:22"/>
        <d v="2026-06-03T13:42:56"/>
        <d v="2026-06-03T14:15:15"/>
        <d v="2026-06-03T11:58:58"/>
        <d v="2026-06-03T11:58:26"/>
        <d v="2026-06-03T12:30:11"/>
        <d v="2026-06-03T12:36:45"/>
        <d v="2026-06-04T19:59:56"/>
        <d v="2026-06-09T19:04:46"/>
        <d v="2026-06-10T13:30:04"/>
        <d v="2026-06-11T12:10:47"/>
        <d v="2026-06-13T09:35:23"/>
        <d v="2026-06-13T15:12:19"/>
        <d v="2026-06-13T09:35:27"/>
      </sharedItems>
      <fieldGroup par="20" base="1">
        <rangePr groupBy="seconds" startDate="2026-05-26T11:13:56" endDate="2026-06-13T15:12:19"/>
        <groupItems count="62">
          <s v="&lt;5/26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6/13/2026"/>
        </groupItems>
      </fieldGroup>
    </cacheField>
    <cacheField name="منطقه" numFmtId="0">
      <sharedItems/>
    </cacheField>
    <cacheField name="mdStoreSN" numFmtId="0">
      <sharedItems containsSemiMixedTypes="0" containsString="0" containsNumber="1" minValue="755.19899999999996" maxValue="8486.1990000000005"/>
    </cacheField>
    <cacheField name="InventLocationID" numFmtId="0">
      <sharedItems/>
    </cacheField>
    <cacheField name="فروشگاه" numFmtId="0">
      <sharedItems count="16">
        <s v="فرانچايز خرم آباد شهرک آذربايجان"/>
        <s v="فروشگاه خرم آباد فردوسي"/>
        <s v="فرانچايز خرم آباد خاتم الانبيا دو"/>
        <s v="فروشگاه دلفان خيابان رجايي"/>
        <s v="فرانچايز خرم آباد مهستان"/>
        <s v="فرانچايز خرم آباد اسدآبادي دو"/>
        <s v="فرانچايز خرم آباد خيابان ساحلي"/>
        <s v="فرانچايز خرم آباد فاز دو ناصر خسرو"/>
        <s v="فروشگاه خرم آباد دره گرم"/>
        <s v="فروشگاه خرم آباد بابک"/>
        <s v="فروشگاه الشتر شهرداري"/>
        <s v="فروشگاه خرم آباد بلوار شصت متري"/>
        <s v="فروشگاه کوهدشت باهنر"/>
        <s v="فروشگاه خرم آباد خيابان علوي" u="1"/>
        <s v="فروشگاه خرم آباد وليعصر" u="1"/>
        <s v="فرانچايز خرم آباد خيابان بزرگمهر" u="1"/>
      </sharedItems>
    </cacheField>
    <cacheField name="OrderCode" numFmtId="0">
      <sharedItems/>
    </cacheField>
    <cacheField name="SalesChannel" numFmtId="0">
      <sharedItems/>
    </cacheField>
    <cacheField name="Level1" numFmtId="0">
      <sharedItems/>
    </cacheField>
    <cacheField name="Level2" numFmtId="0">
      <sharedItems/>
    </cacheField>
    <cacheField name="Level3" numFmtId="0">
      <sharedItems/>
    </cacheField>
    <cacheField name="Level4" numFmtId="0">
      <sharedItems/>
    </cacheField>
    <cacheField name="Level5" numFmtId="0">
      <sharedItems/>
    </cacheField>
    <cacheField name="بارکد ناموجود" numFmtId="0">
      <sharedItems containsMixedTypes="1" containsNumber="1" containsInteger="1" minValue="6261005001414" maxValue="9799649030199" count="25">
        <s v="6261422504543"/>
        <s v="6261005001414"/>
        <s v="6263414004482"/>
        <s v="6261101221310"/>
        <s v="6260147601360"/>
        <s v="6260171519907"/>
        <s v="6260360001831"/>
        <s v="6260360006072"/>
        <s v="6269303400298"/>
        <s v="6262758200970"/>
        <s v="6269211301021"/>
        <s v="6263932809941"/>
        <s v="6263932810169"/>
        <s v="6269705400162"/>
        <s v="6261939921475"/>
        <s v="6260161400970"/>
        <s v="6260834700802"/>
        <s v="6266282600015"/>
        <s v="6260161525369"/>
        <s v="6262754024372"/>
        <n v="6261005001414" u="1"/>
        <n v="6262753001503" u="1"/>
        <n v="9799649030199" u="1"/>
        <n v="6264128600090" u="1"/>
        <n v="6267604411623" u="1"/>
      </sharedItems>
    </cacheField>
    <cacheField name="کالای ناموجود" numFmtId="0">
      <sharedItems count="113">
        <s v="نوشابه انرژي زا 240 سي سي فاير پاور"/>
        <s v="پودر لباسشويي دستي 500DNAگرمي يکتا"/>
        <s v="‏مايع سفيدکننده بارايحه لاوندر 4000 گرمي تاژ"/>
        <s v="پودر لباسشويي ماشيني 500 گرمي سپيد 5"/>
        <s v="سويا پروتئين ريز دانه 250 گرمي سبحان"/>
        <s v="ماکاروني فرمي مته اي سبزيجات 500 گرمي مانا"/>
        <s v="ويفر با روکش شکلات شيري 32 گرمي کوپا"/>
        <s v="بيسکويت سبوسدار شکلاتي کرمدار 85 گرمي کوپا"/>
        <s v="ني نبات ساده 1000 گرمي هم خوان"/>
        <s v="پودر سير 90 گرمي سانتين"/>
        <s v="مايع ظرفشويي با رايحه ليمو 1 ليتري تست"/>
        <s v="مرغ کامل با پوست 2000گرمي آوا پروتئين"/>
        <s v="مرغ کامل با پوست 1800گرمي آوا پروتئين"/>
        <s v="نوشيدني انرژي زا 250 سي سي تي رکس"/>
        <s v="آبميوه قوطي مخلوط انار تمشک 240 سي سي ساني نس"/>
        <s v="سوسيس کوکتل 55 درصد گوشت 500 گرمي کاله"/>
        <s v="پوشک بچه سايز4 بزرگ 34 عددي ماي بي بي"/>
        <s v="نوشابه انرژي زا 250 سي سي هپي لايف"/>
        <s v="شير کاکائو بطري 200 سي سي کاله"/>
        <s v="برنج هندي 1509 دانه بلند 10 کيلوگرمي هايلي"/>
        <s v="رب گوجه فرنگي 800 گرمي فاميلا" u="1"/>
        <s v="تخم مرغ 20 عددي زرده طلايي" u="1"/>
        <s v="بستني چوبي آلپيرال ميوه اي وانيل دومينو" u="1"/>
        <s v="کره 20 گرمي رامک" u="1"/>
        <s v="کنسرو لوبيا چيتي در سس گوجه فرنگي 380 گرمي فاميلا" u="1"/>
        <s v="نوشابه انرژي زا زيرو 250 سي سي هپي لايف" u="1"/>
        <s v="پوشک بچه سايز6 خيلي خيلي بزرگ 22 عددي ماي بي بي" u="1"/>
        <s v="مسواک مديوم دکتر وست" u="1"/>
        <s v="نات بار بادام زميني شکلاتي 30 گرمي ماني" u="1"/>
        <s v="نوار بهداشتي بالدار فلاف بزرگ 10 عددي بيتا" u="1"/>
        <s v="پاستا نيمه آماده گوجه ريحان 120 گرمي شف هو" u="1"/>
        <s v="چيپس ماست ريحان 65 گرمي مزمز" u="1"/>
        <s v="کرم مرطوب کننده دست و صورت جوانه گندم 75 ميل ديلمون" u="1"/>
        <s v="نان لواش سبوس 200 گرمي 8 عددي تک نان جنوب" u="1"/>
        <s v="لامپ ال اي دي حبابي مهتابي 12 وات لکلر" u="1"/>
        <s v="روغن نيمه جامد 5 کيلوگرمي اويلا" u="1"/>
        <s v="دستمال توالت 2 رول 4 لايه سافتلن" u="1"/>
        <s v="کتل چيپس سرکه بالزاميک 60 گرمي چي توز" u="1"/>
        <s v="شکلات صبحانه فندقي 100 گرمي کوپا" u="1"/>
        <s v="روغن آفتابگردان 810 گرمي اويلا" u="1"/>
        <s v="برنج پاکستاني سوپر باسمتي 10 کيلوگرمي بريس تنظيم بازار" u="1"/>
        <s v="روغن نيمه جامد حاوي روغن ذرت 5 کيلوگرمي قو" u="1"/>
        <s v="پودر لباسشويي دستي گل هاي جادويي 500 گرمي تاپ" u="1"/>
        <s v="دسر تاپر شکلات 95 گرمي دنت" u="1"/>
        <s v="پودر ژله هلو 100 گرمي فرمند" u="1"/>
        <s v="مام رول زنانه هيون فلاور 50 ميل شون" u="1"/>
        <s v="مام رول زنانه پينک پرنسس 50 ميل شون" u="1"/>
        <s v="مام رول مردانه فرش بامبو 50 ميل شون" u="1"/>
        <s v="خامه عسل 100 گرمي رامک" u="1"/>
        <s v="کيسه زباله متوسط تجزيه پذير جعبه اي 42 عددي 55*80 پتروکلين" u="1"/>
        <s v="پوشک بچه لوشن آبي سايز 5 خيلي بزرگ 28 عددي ماي بيبي" u="1"/>
        <s v="ماکاروني فرمي پنوني 500 گرمي مک" u="1"/>
        <s v="ماست موسير ليواني پرچرب 250 گرمي پاکبان" u="1"/>
        <s v="نوشابه ليموناد قوطي 330 سي سي ماتادور" u="1"/>
        <s v="ماکاروني پيکولي 500 گرمي زر" u="1"/>
        <s v="چيپس خلالي متوسط 97 گرمي مزمز" u="1"/>
        <s v="پودر ژله پرتقال 100 گرمي فرمند" u="1"/>
        <s v="انرژي بار پسته 35 گرمي پنگوئن" u="1"/>
        <s v="کالباس مرغ چيکنتو 90 درصد 250 گرمي کيمبال" u="1"/>
        <s v="ناگت مرغ 70 درصد 500 گرمي کيمبال" u="1"/>
        <s v="مسواک کودک نرم طرح خرگوش 10-7 سال هايدنت" u="1"/>
        <s v="کتل چيپس ناچو 60 گرمي چي توز" u="1"/>
        <s v="خميردندان آنتي كويتي حاوي فلورايد 3 رنگ 100 گرمي كرند" u="1"/>
        <s v="لواشک سيب و آلبالو 80 گرمي فاميليا ترشين" u="1"/>
        <s v="آدامس با طعم استوايي بدون شکر 12 عددي بايودنت" u="1"/>
        <s v="دستمال کاغذي سافت پک 250 برگ 2 لايه 1 عددي تنو" u="1"/>
        <s v="نوشيدني انرژي زا پت 330 سي سي رکسوس" u="1"/>
        <s v="نان نيمه آماده پيتزا 480 گرمي کيمبال" u="1"/>
        <s v="پودر ژله آناناس 100 گرمي جلي دي دراژه" u="1"/>
        <s v="کورن فلکس بالشتي شکلاتي 50 گرمي چي پف" u="1"/>
        <s v="پنير پيتزا تاپينگ 500 گرمي نيک شف" u="1"/>
        <s v="شامپو صورت و بدن صدفي سبز آبي 400 گرمي حيات" u="1"/>
        <s v="برنج هندي 1509 باسماتي 10 کيلوگرمي جي تي سي" u="1"/>
        <s v="آدامس با طعم نعنا بدون شکر 12 عددي بايودنت" u="1"/>
        <s v="آدامس بيداري با طعم نعناي خنک بدون شکر اکشن" u="1"/>
        <s v="شامپو زيتون 450 گرمي پرژک" u="1"/>
        <s v="کالباس مارتادلا 40 درصد مرغ 500 گرمي کيمبال" u="1"/>
        <s v="پودر ژله طالبي 100 گرمي فرمند" u="1"/>
        <s v="آدامس ميني استيک با طعم طالبي بدون شکر بايودنت" u="1"/>
        <s v="مايع لباسشويي رنگين شوي 2400 گرمي بوژنه" u="1"/>
        <s v="نودل مرغ 75 گرمي اليت" u="1"/>
        <s v="کنسرو ماهي تن در روغن سويا 120 گرمي اويلا" u="1"/>
        <s v="دسر پودينگ موزي 65 گرمي دومينو" u="1"/>
        <s v="دسر پودينگ توت فرنگي 65 گرمي دومينو" u="1"/>
        <s v="کيک رولتي با کرم کاکائو 40 گرمي کيک ميک مزمز" u="1"/>
        <s v="روغن نيمه جامد 5 کيلوگرمي فاميلا" u="1"/>
        <s v="نوار بهداشتي بالدار شب خيلي بزرگ 10 عددي نانسي" u="1"/>
        <s v="سالاد اولويه مرغ 200 گرمي نامي نو" u="1"/>
        <s v="شير تتراپک پرچرب 200 سي سي پاکبان" u="1"/>
        <s v="مايع دستشويي صدفي سفيد 2500 گرمي حيات" u="1"/>
        <s v="بستني چوبي ميرکس ميلکي وانيلي ميهن" u="1"/>
        <s v="نوشابه پرتقالي 300 سي سي فانتا" u="1"/>
        <s v="کرم ترک عميق 75 ميل جي" u="1"/>
        <s v="چيپس سرکه 60 گرمي مزمز" u="1"/>
        <s v="کيک لايه اي اسفنجي کاکائويي 40 گرمي نادي" u="1"/>
        <s v="مغز تخمه آفتابگردان نمکي 35 گرمي مزمز" u="1"/>
        <s v="بستني چوبي ميلکي موس دومينو" u="1"/>
        <s v="رول ضد عرق زنانه سيلور 50 ميل عطرآگين" u="1"/>
        <s v="والس ساده با تزئين پودر نارگيل 60 گرمي تراست مي نيلي تو" u="1"/>
        <s v="ماست همزده پر چرب 1800 گرمي سون کاله" u="1"/>
        <s v="آلو زرد سلفوني 450 گرمي خشک پاک" u="1"/>
        <s v="کوکي شکلاتي 45 گرمي چي توز" u="1"/>
        <s v="بستني قيفي کارنينو وانيل معمولي دومينو" u="1"/>
        <s v="اسنک موتوري 50 گرمي چي توز" u="1"/>
        <s v="لامپ ال اي دي حبابي نچرال 20 وات کلور" u="1"/>
        <s v="پودر ژله طالبي 100 گرمي جلي دي دراژه" u="1"/>
        <s v="کره گياهي 100 گرمي مهگل" u="1"/>
        <s v="دستمال توالت 2 رول 3 لايه ايزي لند" u="1"/>
        <s v="روغن آفتابگردان غني شده ويتامينه 1350 گرمي فاميلا" u="1"/>
        <s v="مايع ظرفشويي پرتقال گريپ فروت فعال در آب سرد 1000 گرمي پريل" u="1"/>
        <s v="دسر شکلاتي 95 گرمي دنت" u="1"/>
        <s v="صابون سيلکي پرل گل سوسن و پنبه دانه 90 گرمي دورو" u="1"/>
        <s v="نوار بهداشتي بالدار فلاف خيلي بزرگ 10 عددي نانسي" u="1"/>
      </sharedItems>
    </cacheField>
    <cacheField name="بارکد جایگزین" numFmtId="0">
      <sharedItems containsMixedTypes="1" containsNumber="1" containsInteger="1" minValue="6261005001414" maxValue="9799649071899" count="26">
        <s v="6261422504543"/>
        <s v="6261005001414"/>
        <s v="6263414004482"/>
        <s v="6261101221310"/>
        <s v="6260010533620"/>
        <s v="6260147601360"/>
        <s v="6260171519907"/>
        <s v="6260360001831"/>
        <s v="6260360006072"/>
        <s v="6269303400298"/>
        <s v="6262758200970"/>
        <s v="6263430600200"/>
        <s v="6263932809941"/>
        <s v="9799648723099"/>
        <s v="6260177304675"/>
        <s v="6261939913159"/>
        <s v="6260161400970"/>
        <s v="6266061104949"/>
        <s v="6266282600015"/>
        <s v="6260161547743"/>
        <s v="6262754024372"/>
        <n v="6267604455061" u="1"/>
        <n v="6261005001414" u="1"/>
        <n v="9799649071899" u="1"/>
        <n v="6262753002791" u="1"/>
        <n v="6264128600090" u="1"/>
      </sharedItems>
    </cacheField>
    <cacheField name="کالای جایگزین" numFmtId="0">
      <sharedItems count="126">
        <s v="نوشابه انرژي زا 240 سي سي فاير پاور"/>
        <s v="پودر لباسشويي دستي 500DNAگرمي يکتا"/>
        <s v="‏مايع سفيدکننده بارايحه لاوندر 4000 گرمي تاژ"/>
        <s v="پودر لباسشويي ماشيني 500 گرمي سپيد 5"/>
        <s v="پودر لباسشويي دستي با کف فراوان 500 گرمي سافتلن"/>
        <s v="سويا پروتئين ريز دانه 250 گرمي سبحان"/>
        <s v="ماکاروني فرمي مته اي سبزيجات 500 گرمي مانا"/>
        <s v="ويفر با روکش شکلات شيري 32 گرمي کوپا"/>
        <s v="بيسکويت سبوسدار شکلاتي کرمدار 85 گرمي کوپا"/>
        <s v="ني نبات ساده 1000 گرمي هم خوان"/>
        <s v="پودر سير 90 گرمي سانتين"/>
        <s v="مايع ظرفشويي پرتقال 1000 گرمي دورتو"/>
        <s v="مرغ کامل با پوست 2000گرمي آوا پروتئين"/>
        <s v="مرغ گرم کامل فله 1000"/>
        <s v="نوشابه انرژي زا 250 سي سي وان دي"/>
        <s v="آبميوه قوطي پرتقال پالپ دار 240 سي سي ساني نس"/>
        <s v="سوسيس کوکتل 55 درصد گوشت 500 گرمي کاله"/>
        <s v="پوشک بچه سه بعدي سايز 4 بزرگ 34 عددي مولفيکس"/>
        <s v="نوشابه انرژي زا 250 سي سي هپي لايف"/>
        <s v="شير موز بطري 200 سي سي کاله"/>
        <s v="برنج هندي 1509 دانه بلند 10 کيلوگرمي هايلي"/>
        <s v="کيک کرم کاکائو 135 گرمي من سن درنا" u="1"/>
        <s v="تخم مرغ 20 عددي زرده طلايي" u="1"/>
        <s v="پوشک بچه سايز 6 شورتي 22 عددي ماي بيبي" u="1"/>
        <s v="کنسرو لوبيا چيتي در سس گوجه فرنگي 380 گرمي فاميلا" u="1"/>
        <s v="آدامس ميني استيک با طعم هندوانه بدون شکر بايودنت" u="1"/>
        <s v="نوشابه انرژي زا زيرو 250 سي سي هپي لايف" u="1"/>
        <s v="پودر لباسشويي دستي 5 آنزيم 500 گرمي هوم کر" u="1"/>
        <s v="روغن جامد حاوي ذرت 5 کيلوگرمي اويلا امگا" u="1"/>
        <s v="چيپس ماست ريحان 65 گرمي مزمز" u="1"/>
        <s v="کرم مرطوب کننده دست و صورت جوانه گندم 75 ميل ديلمون" u="1"/>
        <s v="خمير دندان ضد پوسيدگي 50 ميل سيگنال" u="1"/>
        <s v="پک 1+5 عددي صابون دست وصورت گل ياس 90 گرمي لوکس" u="1"/>
        <s v="نان لواش سبوس 200 گرمي 8 عددي تک نان جنوب" u="1"/>
        <s v="برنج 1718 هندي 10 کيلوگرمي مزرعه ما" u="1"/>
        <s v="روغن نيمه جامد 5 کيلوگرمي اويلا" u="1"/>
        <s v="اسنک پنيري واپر مزپف 85 گرمي مزمز" u="1"/>
        <s v="شکلات صبحانه فندقي 100 گرمي کوپا" u="1"/>
        <s v="روغن آفتابگردان 810 گرمي اويلا" u="1"/>
        <s v="خامه عسل 100 گرمي پگاه" u="1"/>
        <s v="برنج پاکستاني سوپر باسمتي 10 کيلوگرمي بريس تنظيم بازار" u="1"/>
        <s v="پودر لباسشويي دستي 500 گرمي برف" u="1"/>
        <s v="روغن نيمه جامد امگا 5 کيلوگرمي قو" u="1"/>
        <s v="مام رول زنانه دئودورانت گل لاله صورتي 50 ميل ماي" u="1"/>
        <s v="دسر تاپر شکلات 95 گرمي دنت" u="1"/>
        <s v="دسر تاپر وانيل 95 گرمي دنت" u="1"/>
        <s v="پودر ژله هلو 100 گرمي فرمند" u="1"/>
        <s v="مام رول زنانه هيون فلاور 50 ميل شون" u="1"/>
        <s v="برنج پاکستاني سوپرباسماتي 10 کيلوگرمي خوشه سان" u="1"/>
        <s v="نوشابه کولا 300 سي سي پت کوکاکولا" u="1"/>
        <s v="بستني قيفي کارنينا کاکائويي ميهن" u="1"/>
        <s v="چيپس خلال بزرگ 165 گرمي چي توز" u="1"/>
        <s v="چيبس ساده 60 گرمي مزمز" u="1"/>
        <s v="برنج 1121 پاکستاني 10 کيلوگرمي جشنواره" u="1"/>
        <s v="ماکاروني فرمي پنوني 500 گرمي مک" u="1"/>
        <s v="ماست موسير 250 گرمي رامک" u="1"/>
        <s v="چيپس ذرت تنوري 100 گرمي تردديلا" u="1"/>
        <s v="پودر لباسشويي دستي 500 گرمي گلرنگ" u="1"/>
        <s v="کرم ترک دست و پا 50 گرمي دکتر ژيلا" u="1"/>
        <s v="لامپ ال اي دي حبابي مهتابي 11 وات کلور" u="1"/>
        <s v="مام رول مردانه ضدتعريق Energy Recharg خوشبوکننده 75 ميل بيول" u="1"/>
        <s v="دسر بيسکويتي 95 گرمي دنت" u="1"/>
        <s v="پودر ژله پرتقال 100 گرمي فرمند" u="1"/>
        <s v="انرژي بار پسته 35 گرمي پنگوئن" u="1"/>
        <s v="کالباس مرغ چيکنتو 90 درصد 250 گرمي کيمبال" u="1"/>
        <s v="چيپس ساده 60 گرمي چي توز" u="1"/>
        <s v="مسواک کودک نرم طرح خرگوش 10-7 سال هايدنت" u="1"/>
        <s v="کتل چيپس ناچو 60 گرمي چي توز" u="1"/>
        <s v="ماکاروني فرمي پيکولي 500 گرمي جهان" u="1"/>
        <s v="لواشک سيب و آلبالو 80 گرمي فاميليا ترشين" u="1"/>
        <s v="نوار بهداشتي بالدار نازک بزرگ 10 عددي نانسي" u="1"/>
        <s v="چيپس سرکه نمکي 60 گرمي چي توز" u="1"/>
        <s v="دستمال کاغذي سافت پک 250 برگ 2 لايه 1 عددي تنو" u="1"/>
        <s v="نان نيمه آماده پيتزا 480 گرمي کيمبال" u="1"/>
        <s v="پودر ژله آناناس 100 گرمي جلي دي دراژه" u="1"/>
        <s v="کورن فلکس بالشتي شکلاتي 50 گرمي چي پف" u="1"/>
        <s v="پنير پيتزا تاپينگ 500 گرمي نيک شف" u="1"/>
        <s v="نوشابه موهيتو قوطي 330 سي سي ماتادور" u="1"/>
        <s v="روغن آفتابگردان غني شده ويتامينه 1350 گرمي اويلا" u="1"/>
        <s v="برنج هندي 1509 باسماتي 10 کيلوگرمي جي تي سي" u="1"/>
        <s v="آدامس بيداري با طعم نعناي خنک بدون شکر اکشن" u="1"/>
        <s v="دستمال توالت 2 رول 4 لايه پاپيا" u="1"/>
        <s v="ماست کم چرب 900 گرمي سون کاله" u="1"/>
        <s v="کالباس مارتادلا 40 درصد مرغ 500 گرمي کاله" u="1"/>
        <s v="ويفر رنگارنگ 14.5 گرمي مينو" u="1"/>
        <s v="پودر ژله طالبي 100 گرمي فرمند" u="1"/>
        <s v="آدامس ميني استيک با طعم طالبي بدون شکر بايودنت" u="1"/>
        <s v="ناگت مرغ و قارچ 70 درصد 400 گرمي نيک شف" u="1"/>
        <s v="پاستا نيمه آماده فتوچيني آلفردو 120 گرمي شف هو" u="1"/>
        <s v="مايع لباسشويي رنگين شوي 2400 گرمي بوژنه" u="1"/>
        <s v="نودل مرغ 75 گرمي اليت" u="1"/>
        <s v="کنسرو ماهي تن در روغن سويا 120 گرمي اويلا" u="1"/>
        <s v="آدامس جعبه اي نعنا وايت" u="1"/>
        <s v="کره 100 گرمي پگاه" u="1"/>
        <s v="کيک رولتي با کرم کاکائو 40 گرمي کيک ميک مزمز" u="1"/>
        <s v="مايع دستشويي صدفي آبي 2500 گرمي حيات" u="1"/>
        <s v="روغن آفتابگردان غني شده 810 گرمي فاميلا" u="1"/>
        <s v="روغن نيمه جامد 5 کيلوگرمي فاميلا" u="1"/>
        <s v="بستني چوبي سالينو توت فرنگي دومينو" u="1"/>
        <s v="کيسه زباله بندار بزرگ 15 عددي65*80 بادوک" u="1"/>
        <s v="سالاد اولويه مرغ 200 گرمي نامي نو" u="1"/>
        <s v="شير تتراپک پرچرب 200 سي سي پاکبان" u="1"/>
        <s v="بستني چوبي ميرکس ميلکي وانيلي ميهن" u="1"/>
        <s v="رب گوجه فرنگي 800 گرمي رعنا" u="1"/>
        <s v="کيک لايه اي اسفنجي کاکائويي 40 گرمي نادي" u="1"/>
        <s v="مغز تخمه آفتابگردان نمکي 35 گرمي مزمز" u="1"/>
        <s v="شامپو بدن کرمي مغذي شير و نارگيل 300 گرمي شون" u="1"/>
        <s v="رول ضد عرق زنانه سيلور 50 ميل عطرآگين" u="1"/>
        <s v="والس ساده با تزئين پودر نارگيل 60 گرمي تراست مي نيلي تو" u="1"/>
        <s v="پودر ژله هندوانه 100 گرمي جلي دي دراژه" u="1"/>
        <s v="آلو زرد سلفوني 450 گرمي خشک پاک" u="1"/>
        <s v="کوکي شکلاتي 45 گرمي چي توز" u="1"/>
        <s v="بستني قيفي کارنينو وانيل معمولي دومينو" u="1"/>
        <s v="نوار بهداشتي بالدار نازک لطيف بزرگ 10 عددي پنبه ريز" u="1"/>
        <s v="لامپ ال اي دي حبابي نچرال 20 وات کلور" u="1"/>
        <s v="نوار بهداشتي بالدار خيلي بزرگ 10 عددي پنبه ريز" u="1"/>
        <s v="شامپو سير 450 گرمي پرژک" u="1"/>
        <s v="روغن آفتابگردان 1620 گرمي رعنا" u="1"/>
        <s v="کره گياهي 100 گرمي مهگل" u="1"/>
        <s v="دستمال توالت 2 رول 3 لايه ايزي لند" u="1"/>
        <s v="نواربهداشتي کلاسيک صورتي مشبک بزرگ 10 عددي ماي ليدي" u="1"/>
        <s v="مايع ظرفشويي پرتقال گريپ فروت فعال در آب سرد 1000 گرمي پريل" u="1"/>
        <s v="غلات بار شکلاتي 30 گرمي هوبارا" u="1"/>
        <s v="دسر شکلاتي 95 گرمي دنت" u="1"/>
        <s v="بستني چوبي طالبي ميهن" u="1"/>
        <s v="نوشابه انرژي زا گازدار بدون شکر 250 سي سي لايف استار" u="1"/>
      </sharedItems>
    </cacheField>
    <cacheField name="تعداد کالای جایگزین" numFmtId="0">
      <sharedItems containsMixedTypes="1" containsNumber="1" containsInteger="1" minValue="0" maxValue="3" count="6">
        <s v="0"/>
        <s v="1"/>
        <s v="2"/>
        <n v="0" u="1"/>
        <n v="3" u="1"/>
        <n v="1" u="1"/>
      </sharedItems>
    </cacheField>
    <cacheField name="سوپروایزر" numFmtId="0">
      <sharedItems count="9">
        <s v="مرتضی رضایی"/>
        <s v="محمد شاکری"/>
        <s v="سامان بسطامی"/>
        <s v="میثم جلالوند"/>
        <s v="محمدکاظم بستامی"/>
        <s v="مصطفی سیفی"/>
        <s v="علی ابراهیمی"/>
        <s v="محسن ملکی"/>
        <s v="یونس آزادبخت"/>
      </sharedItems>
    </cacheField>
    <cacheField name="Minutes" numFmtId="0" databaseField="0">
      <fieldGroup base="1">
        <rangePr groupBy="minutes" startDate="2026-05-26T11:13:56" endDate="2026-06-13T15:12:19"/>
        <groupItems count="62">
          <s v="&lt;5/26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6/13/2026"/>
        </groupItems>
      </fieldGroup>
    </cacheField>
    <cacheField name="Hours" numFmtId="0" databaseField="0">
      <fieldGroup base="1">
        <rangePr groupBy="hours" startDate="2026-05-26T11:13:56" endDate="2026-06-13T15:12:19"/>
        <groupItems count="26">
          <s v="&lt;5/26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6/1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gheri, Shahin (OK)" refreshedDate="46298.553952430557" createdVersion="7" refreshedVersion="8" minRefreshableVersion="3" recordCount="36" xr:uid="{C88CB950-ED97-450A-B497-AC92340CF1F1}">
  <cacheSource type="worksheet">
    <worksheetSource name="Table1"/>
  </cacheSource>
  <cacheFields count="66">
    <cacheField name="دیستریکت" numFmtId="0">
      <sharedItems containsBlank="1" count="2">
        <s v="خرم آباد"/>
        <m u="1"/>
      </sharedItems>
    </cacheField>
    <cacheField name="استان" numFmtId="0">
      <sharedItems/>
    </cacheField>
    <cacheField name="شهر" numFmtId="0">
      <sharedItems/>
    </cacheField>
    <cacheField name="نام فروشگاه" numFmtId="0">
      <sharedItems containsBlank="1" count="24">
        <s v="فروشگاه الشتر شهرداری"/>
        <s v="فرانچایز خرم آباد اسدآبادی دو"/>
        <s v="فرانچایز خرم آباد خاتم الانبیا دو"/>
        <s v="فرانچایز خرم آباد دره گرم بوستان"/>
        <s v="فرانچایز خرم آباد فاز دو ناصر خسرو"/>
        <s v="فرانچایز خرم آباد مهستان"/>
        <s v="فروشگاه خرم آباد بابک"/>
        <s v="فروشگاه خرم آباد بلوار شصت متری"/>
        <s v="فروشگاه خرم آباد خیابان علوی"/>
        <s v="فروشگاه خرم آباد دره گرم"/>
        <s v="فروشگاه خرم آباد فردوسی"/>
        <s v="فروشگاه خرم آباد قاضی آباد دو"/>
        <s v="فروشگاه خرم آباد ولیعصر"/>
        <s v="فروشگاه کوهدشت باهنر"/>
        <s v="فروشگاه کوهدشت بوعلی"/>
        <s v="فروشگاه کوهدشت شهبازی"/>
        <s v="فروشگاه کوهدشت مالک اشتر"/>
        <s v="فروشگاه دلفان خیابان رجایی"/>
        <s v="فروشگاه دلفان خیابان مدرس"/>
        <m u="1"/>
        <s v="فرانچایز خرم آباد خیابان ساحلی" u="1"/>
        <s v="فرانچایز کوهدشت میدان 22بهمن" u="1"/>
        <s v="فرانچایز خرم آباد شهرک آذربایجان" u="1"/>
        <s v="فرانچایز خرم آباد خیابان بزرگمهر" u="1"/>
      </sharedItems>
    </cacheField>
    <cacheField name="TarikhShamsi" numFmtId="1">
      <sharedItems containsSemiMixedTypes="0" containsString="0" containsNumber="1" containsInteger="1" minValue="14050701" maxValue="14050710" count="8">
        <n v="14050710"/>
        <n v="14050709"/>
        <n v="14050701" u="1"/>
        <n v="14050702" u="1"/>
        <n v="14050703" u="1"/>
        <n v="14050705" u="1"/>
        <n v="14050706" u="1"/>
        <n v="14050704" u="1"/>
      </sharedItems>
    </cacheField>
    <cacheField name="کد فروشگاه" numFmtId="0">
      <sharedItems containsBlank="1" count="24">
        <s v="OKS07054"/>
        <s v="OKS06697"/>
        <s v="OKS09644"/>
        <s v="OKS09154"/>
        <s v="OKS04019"/>
        <s v="OKS08953"/>
        <s v="OKS07927"/>
        <s v="OKS04382"/>
        <s v="OKS08496"/>
        <s v="OKS07979"/>
        <s v="OKS00766"/>
        <s v="OKS02295"/>
        <s v="OKS00683"/>
        <s v="OKS10216"/>
        <s v="OKS08239"/>
        <s v="OKS05372"/>
        <s v="OKS00634"/>
        <s v="OKS08488"/>
        <s v="OKS05974"/>
        <m u="1"/>
        <s v="OKS09238" u="1"/>
        <s v="OKS09122" u="1"/>
        <s v="OKS08818" u="1"/>
        <s v="OKS07363" u="1"/>
      </sharedItems>
    </cacheField>
    <cacheField name="company" numFmtId="0">
      <sharedItems/>
    </cacheField>
    <cacheField name="قیمت مصرف کننده" numFmtId="3">
      <sharedItems containsSemiMixedTypes="0" containsString="0" containsNumber="1" containsInteger="1" minValue="72276889" maxValue="1695283529"/>
    </cacheField>
    <cacheField name="تخفیفات عادی افق کوروش" numFmtId="3">
      <sharedItems containsSemiMixedTypes="0" containsString="0" containsNumber="1" containsInteger="1" minValue="15313890" maxValue="279729011"/>
    </cacheField>
    <cacheField name="قیمت فروش افق کوروش" numFmtId="3">
      <sharedItems containsSemiMixedTypes="0" containsString="0" containsNumber="1" containsInteger="1" minValue="56963000" maxValue="1415554518"/>
    </cacheField>
    <cacheField name="درصد تخفیف افق کوروش" numFmtId="165">
      <sharedItems containsSemiMixedTypes="0" containsString="0" containsNumber="1" minValue="0.136105424363546" maxValue="0.24772440116063399"/>
    </cacheField>
    <cacheField name="تخفیف پلتفرم" numFmtId="3">
      <sharedItems containsSemiMixedTypes="0" containsString="0" containsNumber="1" minValue="7492807.9998000003" maxValue="151534074.00040001"/>
    </cacheField>
    <cacheField name="کل تخفیف پلتفرم" numFmtId="3">
      <sharedItems containsSemiMixedTypes="0" containsString="0" containsNumber="1" containsInteger="1" minValue="22806697" maxValue="431263085"/>
    </cacheField>
    <cacheField name="قیمت فروش پلتفرم" numFmtId="3">
      <sharedItems containsSemiMixedTypes="0" containsString="0" containsNumber="1" containsInteger="1" minValue="49470191" maxValue="1264020444"/>
    </cacheField>
    <cacheField name="قیمت فروش خالص" numFmtId="3">
      <sharedItems containsSemiMixedTypes="0" containsString="0" containsNumber="1" containsInteger="1" minValue="47175279" maxValue="1196934739"/>
    </cacheField>
    <cacheField name="قیمت فروش خالص با تخفبفات " numFmtId="3">
      <sharedItems containsSemiMixedTypes="0" containsString="0" containsNumber="1" minValue="54668086.999799997" maxValue="1348468813.0004001"/>
    </cacheField>
    <cacheField name="پرداختی مشتری" numFmtId="3">
      <sharedItems containsSemiMixedTypes="0" containsString="0" containsNumber="1" containsInteger="1" minValue="49470191" maxValue="1264020444"/>
    </cacheField>
    <cacheField name="AOVمصرف کننده" numFmtId="3">
      <sharedItems containsSemiMixedTypes="0" containsString="0" containsNumber="1" minValue="7079313.3125" maxValue="28721275.5"/>
    </cacheField>
    <cacheField name="AOVافق کوروش" numFmtId="3">
      <sharedItems containsSemiMixedTypes="0" containsString="0" containsNumber="1" minValue="5504343.6875" maxValue="23370199.899999999"/>
    </cacheField>
    <cacheField name="AOVپلتفرم" numFmtId="3">
      <sharedItems containsSemiMixedTypes="0" containsString="0" containsNumber="1" minValue="4431653.6875" maxValue="21267252.5"/>
    </cacheField>
    <cacheField name="Average of PlatformDiscountPercent" numFmtId="165">
      <sharedItems containsSemiMixedTypes="0" containsString="0" containsNumber="1" minValue="4.1489648092407003E-2" maxValue="0.151524582003459"/>
    </cacheField>
    <cacheField name="ثبتی" numFmtId="3">
      <sharedItems containsSemiMixedTypes="0" containsString="0" containsNumber="1" containsInteger="1" minValue="6" maxValue="153"/>
    </cacheField>
    <cacheField name="تحویلی" numFmtId="3">
      <sharedItems containsSemiMixedTypes="0" containsString="0" containsNumber="1" containsInteger="1" minValue="6" maxValue="153"/>
    </cacheField>
    <cacheField name="تحویلی به سفیر" numFmtId="1">
      <sharedItems containsSemiMixedTypes="0" containsString="0" containsNumber="1" containsInteger="1" minValue="5" maxValue="119"/>
    </cacheField>
    <cacheField name="تحویلی به مشتری" numFmtId="1">
      <sharedItems containsSemiMixedTypes="0" containsString="0" containsNumber="1" containsInteger="1" minValue="5" maxValue="119"/>
    </cacheField>
    <cacheField name="نسبت تحویلی به ثبتی" numFmtId="165">
      <sharedItems containsSemiMixedTypes="0" containsString="0" containsNumber="1" containsInteger="1" minValue="1" maxValue="1"/>
    </cacheField>
    <cacheField name="OSR_OK" numFmtId="0">
      <sharedItems containsSemiMixedTypes="0" containsString="0" containsNumber="1" minValue="0.57142857142857095" maxValue="1"/>
    </cacheField>
    <cacheField name="IPO" numFmtId="0">
      <sharedItems containsSemiMixedTypes="0" containsString="0" containsNumber="1" minValue="3.78571428571429" maxValue="19.8"/>
    </cacheField>
    <cacheField name="LPO" numFmtId="0">
      <sharedItems containsSemiMixedTypes="0" containsString="0" containsNumber="1" minValue="3.1428571428571401" maxValue="8.5"/>
    </cacheField>
    <cacheField name="عدم جمع‌آوری" numFmtId="3">
      <sharedItems containsSemiMixedTypes="0" containsString="0" containsNumber="1" containsInteger="1" minValue="0" maxValue="0"/>
    </cacheField>
    <cacheField name="درصد عدم جمع‌آوری" numFmtId="166">
      <sharedItems containsSemiMixedTypes="0" containsString="0" containsNumber="1" containsInteger="1" minValue="0" maxValue="0"/>
    </cacheField>
    <cacheField name="سفارش باز" numFmtId="3">
      <sharedItems containsSemiMixedTypes="0" containsString="0" containsNumber="1" containsInteger="1" minValue="0" maxValue="0"/>
    </cacheField>
    <cacheField name="کنسلی" numFmtId="3">
      <sharedItems containsSemiMixedTypes="0" containsString="0" containsNumber="1" containsInteger="1" minValue="0" maxValue="1"/>
    </cacheField>
    <cacheField name="CancelPercent" numFmtId="165">
      <sharedItems containsSemiMixedTypes="0" containsString="0" containsNumber="1" minValue="0" maxValue="6.25E-2"/>
    </cacheField>
    <cacheField name="درصد کنسلی به دلیل تاخیر" numFmtId="0">
      <sharedItems containsString="0" containsBlank="1" containsNumber="1" containsInteger="1" minValue="0" maxValue="0"/>
    </cacheField>
    <cacheField name="درصد کنسلی به دلیل ناموجودی" numFmtId="0">
      <sharedItems containsString="0" containsBlank="1" containsNumber="1" containsInteger="1" minValue="0" maxValue="0"/>
    </cacheField>
    <cacheField name="ناموجودی" numFmtId="3">
      <sharedItems containsSemiMixedTypes="0" containsString="0" containsNumber="1" containsInteger="1" minValue="0" maxValue="1"/>
    </cacheField>
    <cacheField name="NFCPercent" numFmtId="166">
      <sharedItems containsSemiMixedTypes="0" containsString="0" containsNumber="1" minValue="0" maxValue="0.1"/>
    </cacheField>
    <cacheField name="کنسلی به دلیل ناموجودی" numFmtId="3">
      <sharedItems containsSemiMixedTypes="0" containsString="0" containsNumber="1" containsInteger="1" minValue="0" maxValue="0"/>
    </cacheField>
    <cacheField name="مرجوعی" numFmtId="3">
      <sharedItems containsSemiMixedTypes="0" containsString="0" containsNumber="1" containsInteger="1" minValue="0" maxValue="5"/>
    </cacheField>
    <cacheField name="درصد مرجوعی" numFmtId="165">
      <sharedItems containsSemiMixedTypes="0" containsString="0" containsNumber="1" minValue="0" maxValue="0.2"/>
    </cacheField>
    <cacheField name="تاخیر" numFmtId="3">
      <sharedItems containsSemiMixedTypes="0" containsString="0" containsNumber="1" containsInteger="1" minValue="0" maxValue="5"/>
    </cacheField>
    <cacheField name="درصد تاخیر" numFmtId="165">
      <sharedItems containsSemiMixedTypes="0" containsString="0" containsNumber="1" minValue="0" maxValue="0.33333333333333298"/>
    </cacheField>
    <cacheField name="تاخیر لجستیک" numFmtId="0">
      <sharedItems containsNonDate="0" containsString="0" containsBlank="1"/>
    </cacheField>
    <cacheField name="کنسلی به دلیل تاخیر" numFmtId="3">
      <sharedItems containsSemiMixedTypes="0" containsString="0" containsNumber="1" containsInteger="1" minValue="0" maxValue="0"/>
    </cacheField>
    <cacheField name="انتظار جورچین" numFmtId="0">
      <sharedItems containsSemiMixedTypes="0" containsString="0" containsNumber="1" minValue="0.20362318840579699" maxValue="16.7828571428571"/>
    </cacheField>
    <cacheField name="جورچینی" numFmtId="0">
      <sharedItems containsSemiMixedTypes="0" containsString="0" containsNumber="1" minValue="0.85849056603773599" maxValue="3.58666666666667"/>
    </cacheField>
    <cacheField name="Average of Cash" numFmtId="4">
      <sharedItems containsSemiMixedTypes="0" containsString="0" containsNumber="1" minValue="1.22173913043478" maxValue="18.733809523809501"/>
    </cacheField>
    <cacheField name="ارگانیک ثبتی" numFmtId="3">
      <sharedItems containsSemiMixedTypes="0" containsString="0" containsNumber="1" containsInteger="1" minValue="0" maxValue="0"/>
    </cacheField>
    <cacheField name="درصد ارگانیک ثبتی" numFmtId="165">
      <sharedItems containsSemiMixedTypes="0" containsString="0" containsNumber="1" containsInteger="1" minValue="0" maxValue="0"/>
    </cacheField>
    <cacheField name="ارگانیک تحویلی" numFmtId="3">
      <sharedItems containsSemiMixedTypes="0" containsString="0" containsNumber="1" containsInteger="1" minValue="0" maxValue="0"/>
    </cacheField>
    <cacheField name="درصد ارگانیک تحویلی" numFmtId="165">
      <sharedItems containsSemiMixedTypes="0" containsString="0" containsNumber="1" containsInteger="1" minValue="0" maxValue="0"/>
    </cacheField>
    <cacheField name="شرکت تحویل دهنده" numFmtId="0">
      <sharedItems/>
    </cacheField>
    <cacheField name="سوپروایزر" numFmtId="0">
      <sharedItems/>
    </cacheField>
    <cacheField name="معين فروشگاه" numFmtId="0">
      <sharedItems containsNonDate="0" containsString="0" containsBlank="1"/>
    </cacheField>
    <cacheField name="تعداد پرسنل فعال" numFmtId="0">
      <sharedItems containsString="0" containsBlank="1" containsNumber="1" containsInteger="1" minValue="2" maxValue="6"/>
    </cacheField>
    <cacheField name="تعداد پرسنل " numFmtId="1">
      <sharedItems containsString="0" containsBlank="1" containsNumber="1" containsInteger="1" minValue="3" maxValue="6"/>
    </cacheField>
    <cacheField name="تعداد پرسنل پیشنهادی" numFmtId="1">
      <sharedItems containsString="0" containsBlank="1" containsNumber="1" containsInteger="1" minValue="3" maxValue="5"/>
    </cacheField>
    <cacheField name="سوپروایزر  " numFmtId="0">
      <sharedItems containsBlank="1" count="19">
        <s v="محسن ملکی"/>
        <s v="محمد کاظم بستامی"/>
        <s v="مرتضی رضایی"/>
        <s v="سامان بسطامی"/>
        <s v="علی ابراهیمی نیا"/>
        <s v="مصطفی سیفی"/>
        <s v="فیاض رحیم زاده "/>
        <s v="جواد رستمی"/>
        <s v="میثم جلالوند "/>
        <s v="محمد کاظم بسطامی" u="1"/>
        <s v="محمدکاظم بستامی" u="1"/>
        <s v="محمد شاکری" u="1"/>
        <s v="علی ابراهیمی" u="1"/>
        <s v="میثم جلالوند" u="1"/>
        <s v="یونس آزادبخت" u="1"/>
        <s v="فیاض رحیم زاده" u="1"/>
        <m u="1"/>
        <e v="#N/A" u="1"/>
        <s v="جواد رستمی " u="1"/>
      </sharedItems>
    </cacheField>
    <cacheField name="Column1" numFmtId="0">
      <sharedItems containsNonDate="0" containsString="0" containsBlank="1"/>
    </cacheField>
    <cacheField name="درصد تاخیر " numFmtId="0" formula="تاخیر/تحویلی" databaseField="0"/>
    <cacheField name="درصد ناموجودی " numFmtId="0" formula="ناموجودی/تحویلی" databaseField="0"/>
    <cacheField name="درصد تاخیر 0" numFmtId="0" formula="تاخیر/تحویلی" databaseField="0"/>
    <cacheField name="درصد ناموجودی 0" numFmtId="0" formula="ناموجودی/ثبتی" databaseField="0"/>
    <cacheField name="درصد تاخیر جدید" numFmtId="0" formula="تاخیر/تحویلی" databaseField="0"/>
    <cacheField name="درصد ناموجودی جدید " numFmtId="0" formula="ناموجودی/ثبتی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s v="خرم آباد"/>
    <n v="7508.1989999999996"/>
    <s v="OKS09238"/>
    <x v="0"/>
    <s v="185919930"/>
    <s v="اکالا"/>
    <s v="Beverages"/>
    <s v="نوشيدني گازدار"/>
    <s v="نوشابه انرژي زا"/>
    <s v="نوشابه انرژي زا قوطي کوچک"/>
    <s v="نوشابه انرژي زا قوطي کلاسيک کوچک"/>
    <x v="0"/>
    <x v="0"/>
    <x v="0"/>
    <x v="0"/>
    <x v="0"/>
    <x v="0"/>
  </r>
  <r>
    <x v="0"/>
    <x v="1"/>
    <s v="خرم آباد"/>
    <n v="7508.1989999999996"/>
    <s v="OKS09238"/>
    <x v="0"/>
    <s v="185990742"/>
    <s v="اکالا"/>
    <s v="DPH"/>
    <s v="شوينده منسوجات"/>
    <s v="پودر و قرص لباسشويي"/>
    <s v="پودر لباسشويي دستي"/>
    <s v="پودر لباسشويي دستي کوچک"/>
    <x v="1"/>
    <x v="1"/>
    <x v="1"/>
    <x v="1"/>
    <x v="0"/>
    <x v="0"/>
  </r>
  <r>
    <x v="0"/>
    <x v="2"/>
    <s v="خرم آباد"/>
    <n v="7508.1989999999996"/>
    <s v="OKS09238"/>
    <x v="0"/>
    <s v="185990742"/>
    <s v="اکالا"/>
    <s v="DPH"/>
    <s v="بهداشت خانگي"/>
    <s v="سفيد کننده و ضدعفوني کننده"/>
    <s v="مايع سفيدکننده"/>
    <s v="مايع سفيدکننده رقيق بزرگ"/>
    <x v="2"/>
    <x v="2"/>
    <x v="2"/>
    <x v="2"/>
    <x v="0"/>
    <x v="0"/>
  </r>
  <r>
    <x v="0"/>
    <x v="3"/>
    <s v="خرم آباد"/>
    <n v="7508.1989999999996"/>
    <s v="OKS09238"/>
    <x v="0"/>
    <s v="185999160"/>
    <s v="اکالا"/>
    <s v="DPH"/>
    <s v="شوينده منسوجات"/>
    <s v="پودر و قرص لباسشويي"/>
    <s v="پودر لباسشويي ماشيني"/>
    <s v="پودر لباسشويي ماشيني کوچک"/>
    <x v="3"/>
    <x v="3"/>
    <x v="3"/>
    <x v="3"/>
    <x v="0"/>
    <x v="0"/>
  </r>
  <r>
    <x v="0"/>
    <x v="4"/>
    <s v="خرم آباد"/>
    <n v="755.19899999999996"/>
    <s v="OKS00766"/>
    <x v="1"/>
    <s v="185920086"/>
    <s v="اکالا"/>
    <s v="DPH"/>
    <s v="شوينده منسوجات"/>
    <s v="پودر و قرص لباسشويي"/>
    <s v="پودر لباسشويي دستي"/>
    <s v="پودر لباسشويي دستي کوچک"/>
    <x v="1"/>
    <x v="1"/>
    <x v="4"/>
    <x v="4"/>
    <x v="1"/>
    <x v="1"/>
  </r>
  <r>
    <x v="1"/>
    <x v="5"/>
    <s v="خرم آباد"/>
    <n v="7914.1989999999996"/>
    <s v="OKS09644"/>
    <x v="2"/>
    <s v="186169388"/>
    <s v="اکالا"/>
    <s v="Dry Food"/>
    <s v="غلات و حبوبات"/>
    <s v="غلات"/>
    <s v="سويا"/>
    <s v="سويا ريز"/>
    <x v="4"/>
    <x v="4"/>
    <x v="5"/>
    <x v="5"/>
    <x v="2"/>
    <x v="2"/>
  </r>
  <r>
    <x v="1"/>
    <x v="5"/>
    <s v="خرم آباد"/>
    <n v="7914.1989999999996"/>
    <s v="OKS09644"/>
    <x v="2"/>
    <s v="186169388"/>
    <s v="اکالا"/>
    <s v="Dry Food"/>
    <s v="ماکاروني و رشته"/>
    <s v="ماکاروني و اسپاگتي"/>
    <s v="ماکاروني"/>
    <s v="ماکاروني فرمي سبزيجات"/>
    <x v="5"/>
    <x v="5"/>
    <x v="6"/>
    <x v="6"/>
    <x v="1"/>
    <x v="2"/>
  </r>
  <r>
    <x v="1"/>
    <x v="6"/>
    <s v="خرم آباد"/>
    <n v="6757.1989999999996"/>
    <s v="OKS08488"/>
    <x v="3"/>
    <s v="186157372"/>
    <s v="اکالا"/>
    <s v="Dry Food"/>
    <s v="تنقلات"/>
    <s v="بيسکويت و ويفر"/>
    <s v="ويفر روکش دار"/>
    <s v="ويفر روکش دار کوچک"/>
    <x v="6"/>
    <x v="6"/>
    <x v="7"/>
    <x v="7"/>
    <x v="0"/>
    <x v="3"/>
  </r>
  <r>
    <x v="1"/>
    <x v="7"/>
    <s v="خرم آباد"/>
    <n v="6757.1989999999996"/>
    <s v="OKS08488"/>
    <x v="3"/>
    <s v="186157372"/>
    <s v="اکالا"/>
    <s v="Dry Food"/>
    <s v="تنقلات"/>
    <s v="بيسکويت و ويفر"/>
    <s v="بيسکويت گندم"/>
    <s v="بيسکويت گندم غير پذيرايي"/>
    <x v="7"/>
    <x v="7"/>
    <x v="8"/>
    <x v="8"/>
    <x v="0"/>
    <x v="3"/>
  </r>
  <r>
    <x v="2"/>
    <x v="8"/>
    <s v="خرم آباد"/>
    <n v="7508.1989999999996"/>
    <s v="OKS09238"/>
    <x v="0"/>
    <s v="186273068"/>
    <s v="اکالا"/>
    <s v="Beverages"/>
    <s v="نوشيدني گازدار"/>
    <s v="نوشابه انرژي زا"/>
    <s v="نوشابه انرژي زا قوطي کوچک"/>
    <s v="نوشابه انرژي زا قوطي کلاسيک کوچک"/>
    <x v="0"/>
    <x v="0"/>
    <x v="0"/>
    <x v="0"/>
    <x v="0"/>
    <x v="0"/>
  </r>
  <r>
    <x v="3"/>
    <x v="9"/>
    <s v="خرم آباد"/>
    <n v="7508.1989999999996"/>
    <s v="OKS09238"/>
    <x v="0"/>
    <s v="186471905"/>
    <s v="اکالا"/>
    <s v="Dry Food"/>
    <s v="قند و شکر و نبات"/>
    <s v="نقل و نبات"/>
    <s v="ني نبات"/>
    <s v="ني نبات ساده"/>
    <x v="8"/>
    <x v="8"/>
    <x v="9"/>
    <x v="9"/>
    <x v="0"/>
    <x v="0"/>
  </r>
  <r>
    <x v="3"/>
    <x v="10"/>
    <s v="خرم آباد"/>
    <n v="7508.1989999999996"/>
    <s v="OKS09238"/>
    <x v="0"/>
    <s v="186476463"/>
    <s v="اکالا"/>
    <s v="Dry Food"/>
    <s v="ادويه و افزودني ها"/>
    <s v="ادويه جات"/>
    <s v="ادويه"/>
    <s v="پودر سير"/>
    <x v="9"/>
    <x v="9"/>
    <x v="10"/>
    <x v="10"/>
    <x v="0"/>
    <x v="0"/>
  </r>
  <r>
    <x v="4"/>
    <x v="11"/>
    <s v="خرم آباد"/>
    <n v="7223.1989999999996"/>
    <s v="OKS08953"/>
    <x v="4"/>
    <s v="187098291"/>
    <s v="اکالا"/>
    <s v="DPH"/>
    <s v="شوينده ظروف"/>
    <s v="مايعات ظرفشويي"/>
    <s v="مايع ظرفشويي"/>
    <s v="مايع ظرفشويي کوچک"/>
    <x v="10"/>
    <x v="10"/>
    <x v="11"/>
    <x v="11"/>
    <x v="1"/>
    <x v="4"/>
  </r>
  <r>
    <x v="5"/>
    <x v="12"/>
    <s v="خرم آباد"/>
    <n v="4969.1989999999996"/>
    <s v="OKS06697"/>
    <x v="5"/>
    <s v="187204472"/>
    <s v="اکالا"/>
    <s v="OPSS"/>
    <s v="پروتئيني"/>
    <s v="گوشت مرغ"/>
    <s v="مرغ کامل گرم"/>
    <s v="مرغ کامل گرم بزرگ"/>
    <x v="11"/>
    <x v="11"/>
    <x v="12"/>
    <x v="12"/>
    <x v="0"/>
    <x v="5"/>
  </r>
  <r>
    <x v="5"/>
    <x v="13"/>
    <s v="خرم آباد"/>
    <n v="4969.1989999999996"/>
    <s v="OKS06697"/>
    <x v="5"/>
    <s v="187212004"/>
    <s v="اکالا"/>
    <s v="OPSS"/>
    <s v="پروتئيني"/>
    <s v="گوشت مرغ"/>
    <s v="مرغ کامل گرم"/>
    <s v="مرغ کامل گرم بزرگ"/>
    <x v="11"/>
    <x v="11"/>
    <x v="12"/>
    <x v="12"/>
    <x v="0"/>
    <x v="5"/>
  </r>
  <r>
    <x v="5"/>
    <x v="14"/>
    <s v="خرم آباد"/>
    <n v="5634.1989999999996"/>
    <s v="OKS07363"/>
    <x v="6"/>
    <s v="187181358"/>
    <s v="اکالا"/>
    <s v="OPSS"/>
    <s v="پروتئيني"/>
    <s v="گوشت مرغ"/>
    <s v="مرغ کامل گرم"/>
    <s v="مرغ کامل گرم بزرگ"/>
    <x v="12"/>
    <x v="12"/>
    <x v="13"/>
    <x v="13"/>
    <x v="1"/>
    <x v="6"/>
  </r>
  <r>
    <x v="5"/>
    <x v="15"/>
    <s v="خرم آباد"/>
    <n v="5634.1989999999996"/>
    <s v="OKS07363"/>
    <x v="6"/>
    <s v="187181504"/>
    <s v="اکالا"/>
    <s v="OPSS"/>
    <s v="پروتئيني"/>
    <s v="گوشت مرغ"/>
    <s v="مرغ کامل گرم"/>
    <s v="مرغ کامل گرم بزرگ"/>
    <x v="12"/>
    <x v="12"/>
    <x v="13"/>
    <x v="13"/>
    <x v="1"/>
    <x v="6"/>
  </r>
  <r>
    <x v="5"/>
    <x v="16"/>
    <s v="خرم آباد"/>
    <n v="7223.1989999999996"/>
    <s v="OKS08953"/>
    <x v="4"/>
    <s v="187185869"/>
    <s v="اکالا"/>
    <s v="Beverages"/>
    <s v="نوشيدني گازدار"/>
    <s v="نوشابه انرژي زا"/>
    <s v="نوشابه انرژي زا قوطي کوچک"/>
    <s v="نوشابه انرژي زا قوطي کلاسيک کوچک"/>
    <x v="0"/>
    <x v="0"/>
    <x v="14"/>
    <x v="14"/>
    <x v="1"/>
    <x v="4"/>
  </r>
  <r>
    <x v="5"/>
    <x v="17"/>
    <s v="خرم آباد"/>
    <n v="7223.1989999999996"/>
    <s v="OKS08953"/>
    <x v="4"/>
    <s v="187185869"/>
    <s v="اکالا"/>
    <s v="Beverages"/>
    <s v="نوشيدني گازدار"/>
    <s v="نوشابه انرژي زا"/>
    <s v="نوشابه انرژي زا قوطي کوچک"/>
    <s v="نوشابه انرژي زا قوطي کلاسيک کوچک"/>
    <x v="13"/>
    <x v="13"/>
    <x v="14"/>
    <x v="14"/>
    <x v="1"/>
    <x v="4"/>
  </r>
  <r>
    <x v="6"/>
    <x v="18"/>
    <s v="خرم آباد"/>
    <n v="4969.1989999999996"/>
    <s v="OKS06697"/>
    <x v="5"/>
    <s v="187460348"/>
    <s v="اکالا"/>
    <s v="OPSS"/>
    <s v="پروتئيني"/>
    <s v="گوشت مرغ"/>
    <s v="مرغ کامل گرم"/>
    <s v="مرغ کامل گرم بزرگ"/>
    <x v="11"/>
    <x v="11"/>
    <x v="12"/>
    <x v="12"/>
    <x v="0"/>
    <x v="5"/>
  </r>
  <r>
    <x v="7"/>
    <x v="19"/>
    <s v="خرم آباد"/>
    <n v="3279.1990000000001"/>
    <s v="OKS04019"/>
    <x v="7"/>
    <s v="188268259"/>
    <s v="اکالا"/>
    <s v="Beverages"/>
    <s v="نوشيدني بدون  گاز"/>
    <s v="آبميوه"/>
    <s v="آبميوه کوچک"/>
    <s v="آبميوه ميوه ترش کوچک"/>
    <x v="14"/>
    <x v="14"/>
    <x v="15"/>
    <x v="15"/>
    <x v="1"/>
    <x v="2"/>
  </r>
  <r>
    <x v="8"/>
    <x v="20"/>
    <s v="خرم آباد"/>
    <n v="6248.1989999999996"/>
    <s v="OKS07979"/>
    <x v="8"/>
    <s v="188368297"/>
    <s v="اکالا"/>
    <s v="OPSS"/>
    <s v="سوسيس و کالباس"/>
    <s v="سوسيس گوشت"/>
    <s v="کوکتل گوشت"/>
    <s v="کوکتل گوشت درصد متوسط"/>
    <x v="15"/>
    <x v="15"/>
    <x v="16"/>
    <x v="16"/>
    <x v="0"/>
    <x v="4"/>
  </r>
  <r>
    <x v="9"/>
    <x v="21"/>
    <s v="خرم آباد"/>
    <n v="6196.1989999999996"/>
    <s v="OKS07927"/>
    <x v="9"/>
    <s v="188532608"/>
    <s v="اکالا"/>
    <s v="DPH"/>
    <s v="سلولزي"/>
    <s v="پوشک"/>
    <s v="پوشک بچه"/>
    <s v="پوشک بچه سايز 4"/>
    <x v="16"/>
    <x v="16"/>
    <x v="17"/>
    <x v="17"/>
    <x v="1"/>
    <x v="0"/>
  </r>
  <r>
    <x v="10"/>
    <x v="22"/>
    <s v="خرم آباد"/>
    <n v="5329.1989999999996"/>
    <s v="OKS07054"/>
    <x v="10"/>
    <s v="188863819"/>
    <s v="اکالا"/>
    <s v="Beverages"/>
    <s v="نوشيدني گازدار"/>
    <s v="نوشابه انرژي زا"/>
    <s v="نوشابه انرژي زا قوطي کوچک"/>
    <s v="نوشابه انرژي زا قوطي کلاسيک کوچک"/>
    <x v="17"/>
    <x v="17"/>
    <x v="18"/>
    <x v="18"/>
    <x v="0"/>
    <x v="7"/>
  </r>
  <r>
    <x v="10"/>
    <x v="23"/>
    <s v="خرم آباد"/>
    <n v="3529.1990000000001"/>
    <s v="OKS04382"/>
    <x v="11"/>
    <s v="188221523"/>
    <s v="اکالا"/>
    <s v="OPSS"/>
    <s v="لبنيات"/>
    <s v="شير طعم دار"/>
    <s v="شير طعم دار بطري"/>
    <s v="شير کاکائو بطري کوچک"/>
    <x v="18"/>
    <x v="18"/>
    <x v="19"/>
    <x v="19"/>
    <x v="1"/>
    <x v="2"/>
  </r>
  <r>
    <x v="10"/>
    <x v="24"/>
    <s v="خرم آباد"/>
    <n v="8486.1990000000005"/>
    <s v="OKS10216"/>
    <x v="12"/>
    <s v="188868311"/>
    <s v="اکالا"/>
    <s v="Dry Food"/>
    <s v="برنج"/>
    <s v="برنج خارجي"/>
    <s v="برنج هندي"/>
    <s v="برنج هندي دولتي"/>
    <x v="19"/>
    <x v="19"/>
    <x v="20"/>
    <x v="20"/>
    <x v="0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s v="لرستان"/>
    <s v="الشتر"/>
    <x v="0"/>
    <x v="0"/>
    <x v="0"/>
    <s v="اکالا"/>
    <n v="331348355"/>
    <n v="62784996"/>
    <n v="268563360"/>
    <n v="0.18948334902703801"/>
    <n v="30475497.000599999"/>
    <n v="93260493"/>
    <n v="238087862"/>
    <n v="224108333"/>
    <n v="254583830.00060001"/>
    <n v="238087862"/>
    <n v="9204120.9722222202"/>
    <n v="7460093.3333333302"/>
    <n v="6613551.7222222202"/>
    <n v="9.1974191056038698E-2"/>
    <n v="36"/>
    <n v="36"/>
    <n v="35"/>
    <n v="35"/>
    <n v="1"/>
    <n v="0.97222222222222199"/>
    <n v="7.2777777777777803"/>
    <n v="4.9166666666666696"/>
    <n v="0"/>
    <n v="0"/>
    <n v="0"/>
    <n v="0"/>
    <n v="0"/>
    <m/>
    <m/>
    <n v="0"/>
    <n v="0"/>
    <n v="0"/>
    <n v="0"/>
    <n v="0"/>
    <n v="1"/>
    <n v="2.8571428571428598E-2"/>
    <m/>
    <n v="0"/>
    <n v="2.2310810810810802"/>
    <n v="1.5067567567567599"/>
    <n v="3.7378378378378398"/>
    <n v="0"/>
    <n v="0"/>
    <n v="0"/>
    <n v="0"/>
    <s v="---"/>
    <s v="محسن ملکی"/>
    <m/>
    <n v="5"/>
    <n v="5"/>
    <n v="4"/>
    <x v="0"/>
    <m/>
  </r>
  <r>
    <x v="0"/>
    <s v="لرستان"/>
    <s v="خرم آباد"/>
    <x v="1"/>
    <x v="0"/>
    <x v="1"/>
    <s v="اکالا"/>
    <n v="362717743"/>
    <n v="71253174"/>
    <n v="291464570"/>
    <n v="0.19644248282610199"/>
    <n v="30669465.999899998"/>
    <n v="101922639"/>
    <n v="260795103"/>
    <n v="249458297"/>
    <n v="280127762.99989998"/>
    <n v="260795103"/>
    <n v="10075492.861111101"/>
    <n v="8096238.0555555597"/>
    <n v="7244308.4166666698"/>
    <n v="8.4554633754315003E-2"/>
    <n v="36"/>
    <n v="36"/>
    <n v="27"/>
    <n v="27"/>
    <n v="1"/>
    <n v="0.75"/>
    <n v="5.6111111111111098"/>
    <n v="3.8333333333333299"/>
    <n v="0"/>
    <n v="0"/>
    <n v="0"/>
    <n v="0"/>
    <n v="0"/>
    <m/>
    <m/>
    <n v="0"/>
    <n v="0"/>
    <n v="0"/>
    <n v="1"/>
    <n v="2.7777777777777801E-2"/>
    <n v="0"/>
    <n v="0"/>
    <m/>
    <n v="0"/>
    <n v="1.5017857142857101"/>
    <n v="1.0220238095238099"/>
    <n v="2.5238095238095202"/>
    <n v="0"/>
    <n v="0"/>
    <n v="0"/>
    <n v="0"/>
    <s v="---"/>
    <s v="مصطفی سیفی"/>
    <m/>
    <n v="3"/>
    <n v="4"/>
    <n v="3"/>
    <x v="1"/>
    <m/>
  </r>
  <r>
    <x v="0"/>
    <s v="لرستان"/>
    <s v="خرم آباد"/>
    <x v="2"/>
    <x v="0"/>
    <x v="2"/>
    <s v="اکالا"/>
    <n v="305195329"/>
    <n v="54810925"/>
    <n v="250384405"/>
    <n v="0.17959293538204801"/>
    <n v="34168876"/>
    <n v="88979801"/>
    <n v="216215528"/>
    <n v="205068918"/>
    <n v="239237794"/>
    <n v="216215528"/>
    <n v="9248343.3030303009"/>
    <n v="7587406.2121212101"/>
    <n v="6551985.6969697"/>
    <n v="0.11195740118447001"/>
    <n v="33"/>
    <n v="33"/>
    <n v="33"/>
    <n v="33"/>
    <n v="1"/>
    <n v="1"/>
    <n v="6.39393939393939"/>
    <n v="4.1515151515151496"/>
    <n v="0"/>
    <n v="0"/>
    <n v="0"/>
    <n v="0"/>
    <n v="0"/>
    <m/>
    <m/>
    <n v="0"/>
    <n v="0"/>
    <n v="0"/>
    <n v="0"/>
    <n v="0"/>
    <n v="0"/>
    <n v="0"/>
    <m/>
    <n v="0"/>
    <n v="0.97626262626262605"/>
    <n v="1.4065656565656599"/>
    <n v="2.3828282828282799"/>
    <n v="0"/>
    <n v="0"/>
    <n v="0"/>
    <n v="0"/>
    <s v="---"/>
    <s v="مرتضی رضائی"/>
    <m/>
    <n v="3"/>
    <n v="3"/>
    <n v="3"/>
    <x v="2"/>
    <m/>
  </r>
  <r>
    <x v="0"/>
    <s v="لرستان"/>
    <s v="خرم آباد"/>
    <x v="3"/>
    <x v="0"/>
    <x v="3"/>
    <s v="اکالا"/>
    <n v="256961155"/>
    <n v="40946950"/>
    <n v="216014206"/>
    <n v="0.15935073921970799"/>
    <n v="22785304.9998"/>
    <n v="63732254"/>
    <n v="193228900"/>
    <n v="184181004"/>
    <n v="206966308.9998"/>
    <n v="193228900"/>
    <n v="9517079.8148148209"/>
    <n v="8000526.1481481502"/>
    <n v="7156625.92592593"/>
    <n v="8.8672176583640794E-2"/>
    <n v="27"/>
    <n v="27"/>
    <n v="23"/>
    <n v="22"/>
    <n v="1"/>
    <n v="0.85185185185185197"/>
    <n v="6.2222222222222197"/>
    <n v="4.5925925925925899"/>
    <n v="0"/>
    <n v="0"/>
    <n v="0"/>
    <n v="0"/>
    <n v="0"/>
    <m/>
    <m/>
    <n v="0"/>
    <n v="0"/>
    <n v="0"/>
    <n v="1"/>
    <n v="3.7037037037037E-2"/>
    <n v="0"/>
    <n v="0"/>
    <m/>
    <n v="0"/>
    <n v="0.20362318840579699"/>
    <n v="1.01811594202899"/>
    <n v="1.22173913043478"/>
    <n v="0"/>
    <n v="0"/>
    <n v="0"/>
    <n v="0"/>
    <s v="---"/>
    <s v="محمد کاظم بستامی"/>
    <m/>
    <n v="2"/>
    <n v="3"/>
    <n v="3"/>
    <x v="1"/>
    <m/>
  </r>
  <r>
    <x v="0"/>
    <s v="لرستان"/>
    <s v="خرم آباد"/>
    <x v="4"/>
    <x v="0"/>
    <x v="4"/>
    <s v="اکالا"/>
    <n v="113269013"/>
    <n v="25199514"/>
    <n v="88069499"/>
    <n v="0.22247491465295999"/>
    <n v="17163039.999899998"/>
    <n v="42362553"/>
    <n v="70906459"/>
    <n v="66895268"/>
    <n v="84058307.999899998"/>
    <n v="70906459"/>
    <n v="7079313.3125"/>
    <n v="5504343.6875"/>
    <n v="4431653.6875"/>
    <n v="0.151524582003459"/>
    <n v="16"/>
    <n v="16"/>
    <n v="15"/>
    <n v="15"/>
    <n v="1"/>
    <n v="0.9375"/>
    <n v="6.4375"/>
    <n v="4.125"/>
    <n v="0"/>
    <n v="0"/>
    <n v="0"/>
    <n v="1"/>
    <n v="6.25E-2"/>
    <n v="0"/>
    <n v="0"/>
    <n v="0"/>
    <n v="0"/>
    <n v="0"/>
    <n v="0"/>
    <n v="0"/>
    <n v="0"/>
    <n v="0"/>
    <m/>
    <n v="0"/>
    <n v="0.98333333333333295"/>
    <n v="1.4875"/>
    <n v="2.4708333333333301"/>
    <n v="0"/>
    <n v="0"/>
    <n v="0"/>
    <n v="0"/>
    <s v="---"/>
    <s v="مرتضی رضائی"/>
    <m/>
    <n v="4"/>
    <n v="4"/>
    <n v="3"/>
    <x v="2"/>
    <m/>
  </r>
  <r>
    <x v="0"/>
    <s v="لرستان"/>
    <s v="خرم آباد"/>
    <x v="5"/>
    <x v="0"/>
    <x v="5"/>
    <s v="اکالا"/>
    <n v="72276889"/>
    <n v="15313890"/>
    <n v="56963000"/>
    <n v="0.21187810117283801"/>
    <n v="7492807.9998000003"/>
    <n v="22806697"/>
    <n v="49470191"/>
    <n v="47175279"/>
    <n v="54668086.999799997"/>
    <n v="49470191"/>
    <n v="8030765.4444444403"/>
    <n v="6329222.2222222202"/>
    <n v="5496687.8888888899"/>
    <n v="0.103668101932771"/>
    <n v="9"/>
    <n v="9"/>
    <n v="6"/>
    <n v="6"/>
    <n v="1"/>
    <n v="0.66666666666666696"/>
    <n v="6.2222222222222197"/>
    <n v="4.3333333333333304"/>
    <n v="0"/>
    <n v="0"/>
    <n v="0"/>
    <n v="0"/>
    <n v="0"/>
    <m/>
    <m/>
    <n v="0"/>
    <n v="0"/>
    <n v="0"/>
    <n v="0"/>
    <n v="0"/>
    <n v="2"/>
    <n v="0.33333333333333298"/>
    <m/>
    <n v="0"/>
    <n v="3.1166666666666698"/>
    <n v="3.44166666666667"/>
    <n v="6.55833333333333"/>
    <n v="0"/>
    <n v="0"/>
    <n v="0"/>
    <n v="0"/>
    <s v="---"/>
    <s v="محمد کاظم بستامی"/>
    <m/>
    <n v="4"/>
    <n v="4"/>
    <n v="3"/>
    <x v="1"/>
    <m/>
  </r>
  <r>
    <x v="0"/>
    <s v="لرستان"/>
    <s v="خرم آباد"/>
    <x v="6"/>
    <x v="0"/>
    <x v="6"/>
    <s v="اکالا"/>
    <n v="420938820"/>
    <n v="95727271"/>
    <n v="325211550"/>
    <n v="0.22741373912721999"/>
    <n v="47839023.999899998"/>
    <n v="143566294"/>
    <n v="277372525"/>
    <n v="259766609"/>
    <n v="307605632.99989998"/>
    <n v="277372525"/>
    <n v="10523470.5"/>
    <n v="8130288.75"/>
    <n v="6934313.125"/>
    <n v="0.113648401177779"/>
    <n v="40"/>
    <n v="40"/>
    <n v="38"/>
    <n v="38"/>
    <n v="1"/>
    <n v="0.95"/>
    <n v="6.55"/>
    <n v="4.25"/>
    <n v="0"/>
    <n v="0"/>
    <n v="0"/>
    <n v="0"/>
    <n v="0"/>
    <m/>
    <m/>
    <n v="0"/>
    <n v="0"/>
    <n v="0"/>
    <n v="1"/>
    <n v="2.5000000000000001E-2"/>
    <n v="0"/>
    <n v="0"/>
    <m/>
    <n v="0"/>
    <n v="1.5641025641025601"/>
    <n v="1.39786324786325"/>
    <n v="2.9619658119658099"/>
    <n v="0"/>
    <n v="0"/>
    <n v="0"/>
    <n v="0"/>
    <s v="---"/>
    <s v="مرتضی رضائی"/>
    <m/>
    <n v="5"/>
    <n v="5"/>
    <n v="4"/>
    <x v="1"/>
    <m/>
  </r>
  <r>
    <x v="0"/>
    <s v="لرستان"/>
    <s v="خرم آباد"/>
    <x v="7"/>
    <x v="0"/>
    <x v="7"/>
    <s v="اکالا"/>
    <n v="387109603"/>
    <n v="71386604"/>
    <n v="315722999"/>
    <n v="0.18440928214328001"/>
    <n v="37617383.000399999"/>
    <n v="109003987"/>
    <n v="278105616"/>
    <n v="258656542"/>
    <n v="296273925.00040001"/>
    <n v="278105616"/>
    <n v="11730594.030303"/>
    <n v="9567363.6060606092"/>
    <n v="8427442.9090909101"/>
    <n v="9.7175018682778697E-2"/>
    <n v="33"/>
    <n v="33"/>
    <n v="30"/>
    <n v="30"/>
    <n v="1"/>
    <n v="0.90909090909090895"/>
    <n v="8.0606060606060606"/>
    <n v="4.51515151515152"/>
    <n v="0"/>
    <n v="0"/>
    <n v="0"/>
    <n v="0"/>
    <n v="0"/>
    <m/>
    <m/>
    <n v="0"/>
    <n v="0"/>
    <n v="0"/>
    <n v="0"/>
    <n v="0"/>
    <n v="1"/>
    <n v="3.3333333333333298E-2"/>
    <m/>
    <n v="0"/>
    <n v="0.81111111111111101"/>
    <n v="1.4922222222222199"/>
    <n v="2.3033333333333301"/>
    <n v="0"/>
    <n v="0"/>
    <n v="0"/>
    <n v="0"/>
    <s v="---"/>
    <s v="محمد کاظم بستامی"/>
    <m/>
    <n v="5"/>
    <n v="5"/>
    <n v="4"/>
    <x v="3"/>
    <m/>
  </r>
  <r>
    <x v="0"/>
    <s v="لرستان"/>
    <s v="خرم آباد"/>
    <x v="8"/>
    <x v="0"/>
    <x v="8"/>
    <s v="اکالا"/>
    <n v="125032599"/>
    <n v="19560520"/>
    <n v="105472079"/>
    <n v="0.156443360823044"/>
    <n v="7928143.0001999997"/>
    <n v="27488663"/>
    <n v="97543936"/>
    <n v="89352077"/>
    <n v="97280220.000200003"/>
    <n v="97543936"/>
    <n v="20838766.5"/>
    <n v="17578679.833333299"/>
    <n v="16257322.6666667"/>
    <n v="6.3408607037391901E-2"/>
    <n v="6"/>
    <n v="6"/>
    <n v="5"/>
    <n v="5"/>
    <n v="1"/>
    <n v="0.83333333333333304"/>
    <n v="11"/>
    <n v="4.1666666666666696"/>
    <n v="0"/>
    <n v="0"/>
    <n v="0"/>
    <n v="0"/>
    <n v="0"/>
    <m/>
    <m/>
    <n v="0"/>
    <n v="0"/>
    <n v="0"/>
    <n v="1"/>
    <n v="0.16666666666666699"/>
    <n v="0"/>
    <n v="0"/>
    <m/>
    <n v="0"/>
    <n v="0.92777777777777803"/>
    <n v="1.37222222222222"/>
    <n v="2.2999999999999998"/>
    <n v="0"/>
    <n v="0"/>
    <n v="0"/>
    <n v="0"/>
    <s v="---"/>
    <s v="سامان بسطامی"/>
    <m/>
    <n v="5"/>
    <n v="4"/>
    <n v="4"/>
    <x v="3"/>
    <m/>
  </r>
  <r>
    <x v="0"/>
    <s v="لرستان"/>
    <s v="خرم آباد"/>
    <x v="9"/>
    <x v="0"/>
    <x v="9"/>
    <s v="اکالا"/>
    <n v="647376707"/>
    <n v="112217708"/>
    <n v="535158999"/>
    <n v="0.17334220831025399"/>
    <n v="53929816.000500001"/>
    <n v="166147524"/>
    <n v="481229183"/>
    <n v="450052855"/>
    <n v="503982671.00050002"/>
    <n v="481229183"/>
    <n v="14713106.977272701"/>
    <n v="12162704.522727299"/>
    <n v="10937026.886363599"/>
    <n v="8.3305153451743899E-2"/>
    <n v="44"/>
    <n v="44"/>
    <n v="38"/>
    <n v="38"/>
    <n v="1"/>
    <n v="0.86363636363636398"/>
    <n v="9.5227272727272698"/>
    <n v="4.9318181818181799"/>
    <n v="0"/>
    <n v="0"/>
    <n v="0"/>
    <n v="0"/>
    <n v="0"/>
    <m/>
    <m/>
    <n v="0"/>
    <n v="0"/>
    <n v="0"/>
    <n v="0"/>
    <n v="0"/>
    <n v="0"/>
    <n v="0"/>
    <m/>
    <n v="0"/>
    <n v="1.8204166666666699"/>
    <n v="2.15208333333333"/>
    <n v="3.9725000000000001"/>
    <n v="0"/>
    <n v="0"/>
    <n v="0"/>
    <n v="0"/>
    <s v="---"/>
    <s v="محسن ملکی"/>
    <m/>
    <n v="4"/>
    <n v="5"/>
    <n v="5"/>
    <x v="0"/>
    <m/>
  </r>
  <r>
    <x v="0"/>
    <s v="لرستان"/>
    <s v="خرم آباد"/>
    <x v="10"/>
    <x v="0"/>
    <x v="10"/>
    <s v="اکالا"/>
    <n v="887033789"/>
    <n v="166565010"/>
    <n v="720468779"/>
    <n v="0.18777752557518401"/>
    <n v="83133718.999899998"/>
    <n v="249698728"/>
    <n v="637335060"/>
    <n v="598675147"/>
    <n v="681808865.99989998"/>
    <n v="637335060"/>
    <n v="11671497.223684199"/>
    <n v="9479852.3552631605"/>
    <n v="8385987.6315789502"/>
    <n v="9.3721028373672799E-2"/>
    <n v="76"/>
    <n v="76"/>
    <n v="59"/>
    <n v="59"/>
    <n v="1"/>
    <n v="0.77631578947368396"/>
    <n v="8.0263157894736796"/>
    <n v="4.8684210526315796"/>
    <n v="0"/>
    <n v="0"/>
    <n v="0"/>
    <n v="0"/>
    <n v="0"/>
    <m/>
    <m/>
    <n v="0"/>
    <n v="0"/>
    <n v="0"/>
    <n v="3"/>
    <n v="3.94736842105263E-2"/>
    <n v="3"/>
    <n v="5.0847457627118599E-2"/>
    <m/>
    <n v="0"/>
    <n v="1.6225641025641"/>
    <n v="1.6174358974359"/>
    <n v="3.24"/>
    <n v="0"/>
    <n v="0"/>
    <n v="0"/>
    <n v="0"/>
    <s v="---"/>
    <s v="علی ابراهیمی نیا"/>
    <m/>
    <n v="5"/>
    <n v="5"/>
    <n v="4"/>
    <x v="4"/>
    <m/>
  </r>
  <r>
    <x v="0"/>
    <s v="لرستان"/>
    <s v="خرم آباد"/>
    <x v="11"/>
    <x v="0"/>
    <x v="11"/>
    <s v="اکالا"/>
    <n v="749950198"/>
    <n v="135487439"/>
    <n v="614462759"/>
    <n v="0.18066191509959401"/>
    <n v="66218033"/>
    <n v="201705472"/>
    <n v="548244726"/>
    <n v="516230825"/>
    <n v="582448858"/>
    <n v="548244726"/>
    <n v="12294265.540983601"/>
    <n v="10073159.983606599"/>
    <n v="8987618.4590163901"/>
    <n v="8.8296573678159102E-2"/>
    <n v="61"/>
    <n v="61"/>
    <n v="49"/>
    <n v="49"/>
    <n v="1"/>
    <n v="0.80327868852458995"/>
    <n v="7.4098360655737698"/>
    <n v="4.8196721311475397"/>
    <n v="0"/>
    <n v="0"/>
    <n v="0"/>
    <n v="0"/>
    <n v="0"/>
    <m/>
    <m/>
    <n v="0"/>
    <n v="0"/>
    <n v="0"/>
    <n v="1"/>
    <n v="1.63934426229508E-2"/>
    <n v="0"/>
    <n v="0"/>
    <m/>
    <n v="0"/>
    <n v="1.59466666666667"/>
    <n v="1.34266666666667"/>
    <n v="2.93733333333333"/>
    <n v="0"/>
    <n v="0"/>
    <n v="0"/>
    <n v="0"/>
    <s v="---"/>
    <s v="مصطفی سیفی"/>
    <m/>
    <n v="5"/>
    <n v="5"/>
    <n v="5"/>
    <x v="5"/>
    <m/>
  </r>
  <r>
    <x v="0"/>
    <s v="لرستان"/>
    <s v="خرم آباد"/>
    <x v="12"/>
    <x v="0"/>
    <x v="12"/>
    <s v="اکالا"/>
    <n v="748798205"/>
    <n v="124235106"/>
    <n v="624563099"/>
    <n v="0.165912665348871"/>
    <n v="52178417.999600001"/>
    <n v="176413523"/>
    <n v="572384681"/>
    <n v="538588566"/>
    <n v="590766983.99960005"/>
    <n v="572384681"/>
    <n v="14399965.4807692"/>
    <n v="12010828.8269231"/>
    <n v="11007397.711538499"/>
    <n v="6.9682883294975906E-2"/>
    <n v="52"/>
    <n v="52"/>
    <n v="47"/>
    <n v="46"/>
    <n v="1"/>
    <n v="0.90384615384615397"/>
    <n v="9.4807692307692299"/>
    <n v="4.6923076923076898"/>
    <n v="0"/>
    <n v="0"/>
    <n v="0"/>
    <n v="0"/>
    <n v="0"/>
    <m/>
    <m/>
    <n v="0"/>
    <n v="0"/>
    <n v="0"/>
    <n v="5"/>
    <n v="9.6153846153846201E-2"/>
    <n v="1"/>
    <n v="2.1276595744680899E-2"/>
    <m/>
    <n v="0"/>
    <n v="1.53464052287582"/>
    <n v="1.55228758169935"/>
    <n v="3.08692810457516"/>
    <n v="0"/>
    <n v="0"/>
    <n v="0"/>
    <n v="0"/>
    <s v="---"/>
    <s v="سامان بسطامی"/>
    <m/>
    <n v="5"/>
    <n v="5"/>
    <n v="5"/>
    <x v="3"/>
    <m/>
  </r>
  <r>
    <x v="0"/>
    <s v="لرستان"/>
    <s v="کوهدشت"/>
    <x v="13"/>
    <x v="0"/>
    <x v="13"/>
    <s v="اکالا"/>
    <n v="309464006"/>
    <n v="45530614"/>
    <n v="263933392"/>
    <n v="0.14712733344504"/>
    <n v="16270437.0002"/>
    <n v="61801051"/>
    <n v="247662955"/>
    <n v="237191200"/>
    <n v="253461637.0002"/>
    <n v="247662955"/>
    <n v="10671172.620689699"/>
    <n v="9101151.4482758604"/>
    <n v="8540101.8965517208"/>
    <n v="5.2576185379434599E-2"/>
    <n v="29"/>
    <n v="29"/>
    <n v="28"/>
    <n v="28"/>
    <n v="1"/>
    <n v="0.96551724137931005"/>
    <n v="5.5862068965517198"/>
    <n v="4.1379310344827598"/>
    <n v="0"/>
    <n v="0"/>
    <n v="0"/>
    <n v="0"/>
    <n v="0"/>
    <m/>
    <m/>
    <n v="0"/>
    <n v="0"/>
    <n v="0"/>
    <n v="1"/>
    <n v="3.4482758620689703E-2"/>
    <n v="0"/>
    <n v="0"/>
    <m/>
    <n v="0"/>
    <n v="0.77701149425287397"/>
    <n v="1.0752873563218399"/>
    <n v="1.85229885057471"/>
    <n v="0"/>
    <n v="0"/>
    <n v="0"/>
    <n v="0"/>
    <s v="---"/>
    <s v=""/>
    <m/>
    <m/>
    <m/>
    <m/>
    <x v="6"/>
    <m/>
  </r>
  <r>
    <x v="0"/>
    <s v="لرستان"/>
    <s v="کوهدشت"/>
    <x v="14"/>
    <x v="0"/>
    <x v="14"/>
    <s v="اکالا"/>
    <n v="620354717"/>
    <n v="135463319"/>
    <n v="484891398"/>
    <n v="0.21836429269868801"/>
    <n v="50987308.999899998"/>
    <n v="186450627"/>
    <n v="433904089"/>
    <n v="408991984"/>
    <n v="459979292.99989998"/>
    <n v="433904089"/>
    <n v="9122863.4852941204"/>
    <n v="7130755.8529411796"/>
    <n v="6380942.4852941204"/>
    <n v="8.2190571814781996E-2"/>
    <n v="68"/>
    <n v="68"/>
    <n v="66"/>
    <n v="66"/>
    <n v="1"/>
    <n v="0.97058823529411797"/>
    <n v="5.1764705882352899"/>
    <n v="3.5"/>
    <n v="0"/>
    <n v="0"/>
    <n v="0"/>
    <n v="0"/>
    <n v="0"/>
    <m/>
    <m/>
    <n v="0"/>
    <n v="0"/>
    <n v="0"/>
    <n v="0"/>
    <n v="0"/>
    <n v="1"/>
    <n v="1.5151515151515201E-2"/>
    <m/>
    <n v="0"/>
    <n v="1.61565656565657"/>
    <n v="1.2419191919191901"/>
    <n v="2.8575757575757601"/>
    <n v="0"/>
    <n v="0"/>
    <n v="0"/>
    <n v="0"/>
    <s v="---"/>
    <s v="جواد رستمی"/>
    <m/>
    <n v="4"/>
    <n v="5"/>
    <n v="4"/>
    <x v="7"/>
    <m/>
  </r>
  <r>
    <x v="0"/>
    <s v="لرستان"/>
    <s v="کوهدشت"/>
    <x v="15"/>
    <x v="0"/>
    <x v="15"/>
    <s v="اکالا"/>
    <n v="523022319"/>
    <n v="91627817"/>
    <n v="431394502"/>
    <n v="0.17518911463508699"/>
    <n v="21700012.0011"/>
    <n v="113327829"/>
    <n v="409694490"/>
    <n v="387973950"/>
    <n v="409673962.0011"/>
    <n v="409694490"/>
    <n v="9017626.1896551698"/>
    <n v="7437836.2413793104"/>
    <n v="7063698.1034482801"/>
    <n v="4.1489648092407003E-2"/>
    <n v="58"/>
    <n v="58"/>
    <n v="55"/>
    <n v="54"/>
    <n v="1"/>
    <n v="0.94827586206896597"/>
    <n v="5.4310344827586201"/>
    <n v="3.8793103448275899"/>
    <n v="0"/>
    <n v="0"/>
    <n v="0"/>
    <n v="0"/>
    <n v="0"/>
    <m/>
    <m/>
    <n v="0"/>
    <n v="0"/>
    <n v="0"/>
    <n v="2"/>
    <n v="3.4482758620689703E-2"/>
    <n v="0"/>
    <n v="0"/>
    <m/>
    <n v="0"/>
    <n v="0.987202380952381"/>
    <n v="1.5360119047619001"/>
    <n v="2.5232142857142899"/>
    <n v="0"/>
    <n v="0"/>
    <n v="0"/>
    <n v="0"/>
    <s v="---"/>
    <s v="جواد رستمی"/>
    <m/>
    <n v="5"/>
    <n v="5"/>
    <n v="4"/>
    <x v="7"/>
    <m/>
  </r>
  <r>
    <x v="0"/>
    <s v="لرستان"/>
    <s v="کوهدشت"/>
    <x v="16"/>
    <x v="0"/>
    <x v="16"/>
    <s v="اکالا"/>
    <n v="732675795"/>
    <n v="134316100"/>
    <n v="598359695"/>
    <n v="0.18332269322477099"/>
    <n v="41345388.999600001"/>
    <n v="175661488"/>
    <n v="557014306"/>
    <n v="530219950"/>
    <n v="571565338.99960005"/>
    <n v="557014306"/>
    <n v="9769010.5999999996"/>
    <n v="7978129.2666666703"/>
    <n v="7426857.4133333303"/>
    <n v="5.6430674011292398E-2"/>
    <n v="75"/>
    <n v="75"/>
    <n v="71"/>
    <n v="71"/>
    <n v="1"/>
    <n v="0.94666666666666699"/>
    <n v="7.08"/>
    <n v="4.6666666666666696"/>
    <n v="0"/>
    <n v="0"/>
    <n v="0"/>
    <n v="0"/>
    <n v="0"/>
    <m/>
    <m/>
    <n v="0"/>
    <n v="0"/>
    <n v="0"/>
    <n v="0"/>
    <n v="0"/>
    <n v="0"/>
    <n v="0"/>
    <m/>
    <n v="0"/>
    <n v="0.68708920187793399"/>
    <n v="1.4586854460093901"/>
    <n v="2.1457746478873201"/>
    <n v="0"/>
    <n v="0"/>
    <n v="0"/>
    <n v="0"/>
    <s v="---"/>
    <s v="فیاض رحیم زاده دیالی"/>
    <m/>
    <n v="6"/>
    <n v="6"/>
    <n v="5"/>
    <x v="6"/>
    <m/>
  </r>
  <r>
    <x v="0"/>
    <s v="لرستان"/>
    <s v="الشتر"/>
    <x v="0"/>
    <x v="1"/>
    <x v="0"/>
    <s v="اکالا"/>
    <n v="216112244"/>
    <n v="35868385"/>
    <n v="180243860"/>
    <n v="0.16597109139267499"/>
    <n v="20526989.0002"/>
    <n v="56395374"/>
    <n v="159716870"/>
    <n v="150600198"/>
    <n v="171127187.0002"/>
    <n v="159716870"/>
    <n v="8644489.7599999998"/>
    <n v="7209754.4000000004"/>
    <n v="6388674.7999999998"/>
    <n v="9.4982998303761099E-2"/>
    <n v="25"/>
    <n v="25"/>
    <n v="22"/>
    <n v="22"/>
    <n v="1"/>
    <n v="0.88"/>
    <n v="4.4400000000000004"/>
    <n v="3.6"/>
    <n v="0"/>
    <n v="0"/>
    <n v="0"/>
    <n v="0"/>
    <n v="0"/>
    <m/>
    <m/>
    <n v="0"/>
    <n v="0"/>
    <n v="0"/>
    <n v="1"/>
    <n v="0.04"/>
    <n v="0"/>
    <n v="0"/>
    <m/>
    <n v="0"/>
    <n v="2.70724637681159"/>
    <n v="1.0268115942028999"/>
    <n v="3.7340579710144901"/>
    <n v="0"/>
    <n v="0"/>
    <n v="0"/>
    <n v="0"/>
    <s v="---"/>
    <s v="محسن ملکی"/>
    <m/>
    <n v="5"/>
    <n v="5"/>
    <n v="4"/>
    <x v="0"/>
    <m/>
  </r>
  <r>
    <x v="0"/>
    <s v="لرستان"/>
    <s v="خرم آباد"/>
    <x v="1"/>
    <x v="1"/>
    <x v="1"/>
    <s v="اکالا"/>
    <n v="544809024"/>
    <n v="93902362"/>
    <n v="450906662"/>
    <n v="0.17235830880804201"/>
    <n v="42612274.000399999"/>
    <n v="136514636"/>
    <n v="408294388"/>
    <n v="387210145"/>
    <n v="429822419.00040001"/>
    <n v="408294388"/>
    <n v="9234051.2542372905"/>
    <n v="7642485.79661017"/>
    <n v="6920243.8644067803"/>
    <n v="7.8215066280568402E-2"/>
    <n v="59"/>
    <n v="59"/>
    <n v="51"/>
    <n v="49"/>
    <n v="1"/>
    <n v="0.86440677966101698"/>
    <n v="5.0338983050847501"/>
    <n v="3.79661016949153"/>
    <n v="0"/>
    <n v="0"/>
    <n v="0"/>
    <n v="0"/>
    <n v="0"/>
    <m/>
    <m/>
    <n v="0"/>
    <n v="0"/>
    <n v="0"/>
    <n v="2"/>
    <n v="3.3898305084745797E-2"/>
    <n v="5"/>
    <n v="9.8039215686274495E-2"/>
    <m/>
    <n v="0"/>
    <n v="3.7597484276729598"/>
    <n v="0.85849056603773599"/>
    <n v="4.6182389937106896"/>
    <n v="0"/>
    <n v="0"/>
    <n v="0"/>
    <n v="0"/>
    <s v="---"/>
    <s v="مصطفی سیفی"/>
    <m/>
    <n v="3"/>
    <n v="4"/>
    <n v="3"/>
    <x v="1"/>
    <m/>
  </r>
  <r>
    <x v="0"/>
    <s v="لرستان"/>
    <s v="خرم آباد"/>
    <x v="2"/>
    <x v="1"/>
    <x v="2"/>
    <s v="اکالا"/>
    <n v="583513140"/>
    <n v="86586073"/>
    <n v="496927067"/>
    <n v="0.148387529028052"/>
    <n v="35743290.999499999"/>
    <n v="122329363"/>
    <n v="461183776"/>
    <n v="446495161"/>
    <n v="482238451.99949998"/>
    <n v="461183776"/>
    <n v="12966958.6666667"/>
    <n v="11042823.7111111"/>
    <n v="10248528.3555556"/>
    <n v="6.1255331694063997E-2"/>
    <n v="45"/>
    <n v="45"/>
    <n v="39"/>
    <n v="38"/>
    <n v="1"/>
    <n v="0.86666666666666703"/>
    <n v="6.2222222222222197"/>
    <n v="4.37777777777778"/>
    <n v="0"/>
    <n v="0"/>
    <n v="0"/>
    <n v="0"/>
    <n v="0"/>
    <m/>
    <m/>
    <n v="0"/>
    <n v="0"/>
    <n v="0"/>
    <n v="2"/>
    <n v="4.4444444444444398E-2"/>
    <n v="0"/>
    <n v="0"/>
    <m/>
    <n v="0"/>
    <n v="1.06666666666667"/>
    <n v="1.75166666666667"/>
    <n v="2.8183333333333298"/>
    <n v="0"/>
    <n v="0"/>
    <n v="0"/>
    <n v="0"/>
    <s v="---"/>
    <s v="مرتضی رضائی"/>
    <m/>
    <n v="3"/>
    <n v="3"/>
    <n v="3"/>
    <x v="2"/>
    <m/>
  </r>
  <r>
    <x v="0"/>
    <s v="لرستان"/>
    <s v="خرم آباد"/>
    <x v="3"/>
    <x v="1"/>
    <x v="3"/>
    <s v="اکالا"/>
    <n v="500664378"/>
    <n v="84049089"/>
    <n v="416615289"/>
    <n v="0.16787511293643501"/>
    <n v="52867513.999200001"/>
    <n v="136916602"/>
    <n v="363747775"/>
    <n v="349188942"/>
    <n v="402056455.99919999"/>
    <n v="363747775"/>
    <n v="9446497.6981132105"/>
    <n v="7860665.8301886804"/>
    <n v="6863165.5660377396"/>
    <n v="0.10559471817256701"/>
    <n v="53"/>
    <n v="53"/>
    <n v="41"/>
    <n v="41"/>
    <n v="1"/>
    <n v="0.77358490566037696"/>
    <n v="5"/>
    <n v="3.9245283018867898"/>
    <n v="0"/>
    <n v="0"/>
    <n v="0"/>
    <n v="0"/>
    <n v="0"/>
    <m/>
    <m/>
    <n v="0"/>
    <n v="0"/>
    <n v="0"/>
    <n v="0"/>
    <n v="0"/>
    <n v="0"/>
    <n v="0"/>
    <m/>
    <n v="0"/>
    <n v="1.1666666666666701"/>
    <n v="0.95555555555555505"/>
    <n v="2.12222222222222"/>
    <n v="0"/>
    <n v="0"/>
    <n v="0"/>
    <n v="0"/>
    <s v="---"/>
    <s v="محمد کاظم بستامی"/>
    <m/>
    <n v="2"/>
    <n v="3"/>
    <n v="3"/>
    <x v="1"/>
    <m/>
  </r>
  <r>
    <x v="0"/>
    <s v="لرستان"/>
    <s v="خرم آباد"/>
    <x v="4"/>
    <x v="1"/>
    <x v="4"/>
    <s v="اکالا"/>
    <n v="302344761"/>
    <n v="41150762"/>
    <n v="261194000"/>
    <n v="0.136105424363546"/>
    <n v="20627018.000100002"/>
    <n v="61777780"/>
    <n v="240566981"/>
    <n v="231794364"/>
    <n v="252421382.00009999"/>
    <n v="240566981"/>
    <n v="9448273.78125"/>
    <n v="8162312.5"/>
    <n v="7517718.15625"/>
    <n v="6.8223500429784506E-2"/>
    <n v="32"/>
    <n v="32"/>
    <n v="26"/>
    <n v="26"/>
    <n v="1"/>
    <n v="0.8125"/>
    <n v="4.46875"/>
    <n v="3.25"/>
    <n v="0"/>
    <n v="0"/>
    <n v="0"/>
    <n v="0"/>
    <n v="0"/>
    <m/>
    <m/>
    <n v="0"/>
    <n v="0"/>
    <n v="0"/>
    <n v="1"/>
    <n v="3.125E-2"/>
    <n v="0"/>
    <n v="0"/>
    <m/>
    <n v="0"/>
    <n v="1.05679012345679"/>
    <n v="1.2074074074074099"/>
    <n v="2.2641975308641999"/>
    <n v="0"/>
    <n v="0"/>
    <n v="0"/>
    <n v="0"/>
    <s v="---"/>
    <s v="مرتضی رضائی"/>
    <m/>
    <n v="4"/>
    <n v="4"/>
    <n v="3"/>
    <x v="2"/>
    <m/>
  </r>
  <r>
    <x v="0"/>
    <s v="لرستان"/>
    <s v="خرم آباد"/>
    <x v="5"/>
    <x v="1"/>
    <x v="5"/>
    <s v="اکالا"/>
    <n v="234879230"/>
    <n v="42491731"/>
    <n v="192387500"/>
    <n v="0.18090884834729701"/>
    <n v="28521587.999400001"/>
    <n v="71013318"/>
    <n v="163865912"/>
    <n v="156130367"/>
    <n v="184651954.99939999"/>
    <n v="163865912"/>
    <n v="8388543.92857143"/>
    <n v="6870982.1428571399"/>
    <n v="5852354"/>
    <n v="0.12143086418509599"/>
    <n v="28"/>
    <n v="28"/>
    <n v="16"/>
    <n v="16"/>
    <n v="1"/>
    <n v="0.57142857142857095"/>
    <n v="3.78571428571429"/>
    <n v="3.1428571428571401"/>
    <n v="0"/>
    <n v="0"/>
    <n v="0"/>
    <n v="0"/>
    <n v="0"/>
    <m/>
    <m/>
    <n v="0"/>
    <n v="0"/>
    <n v="0"/>
    <n v="0"/>
    <n v="0"/>
    <n v="0"/>
    <n v="0"/>
    <m/>
    <n v="0"/>
    <n v="2.1175438596491198"/>
    <n v="0.88508771929824603"/>
    <n v="3.0026315789473701"/>
    <n v="0"/>
    <n v="0"/>
    <n v="0"/>
    <n v="0"/>
    <s v="---"/>
    <s v="محمد کاظم بستامی"/>
    <m/>
    <n v="4"/>
    <n v="4"/>
    <n v="3"/>
    <x v="1"/>
    <m/>
  </r>
  <r>
    <x v="0"/>
    <s v="لرستان"/>
    <s v="خرم آباد"/>
    <x v="6"/>
    <x v="1"/>
    <x v="6"/>
    <s v="اکالا"/>
    <n v="500941975"/>
    <n v="94254696"/>
    <n v="406687279"/>
    <n v="0.18815491754309499"/>
    <n v="58691141.999799997"/>
    <n v="152945837"/>
    <n v="347996137"/>
    <n v="331267747"/>
    <n v="389958888.99980003"/>
    <n v="347996137"/>
    <n v="10018839.5"/>
    <n v="8133745.5800000001"/>
    <n v="6959922.7400000002"/>
    <n v="0.117161557250245"/>
    <n v="50"/>
    <n v="50"/>
    <n v="37"/>
    <n v="37"/>
    <n v="1"/>
    <n v="0.74"/>
    <n v="6.04"/>
    <n v="4.76"/>
    <n v="0"/>
    <n v="0"/>
    <n v="0"/>
    <n v="0"/>
    <n v="0"/>
    <m/>
    <m/>
    <n v="0"/>
    <n v="0"/>
    <n v="0"/>
    <n v="0"/>
    <n v="0"/>
    <n v="3"/>
    <n v="8.1081081081081099E-2"/>
    <m/>
    <n v="0"/>
    <n v="2.7864864864864902"/>
    <n v="1.27747747747748"/>
    <n v="4.0639639639639604"/>
    <n v="0"/>
    <n v="0"/>
    <n v="0"/>
    <n v="0"/>
    <s v="---"/>
    <s v="مرتضی رضائی"/>
    <m/>
    <n v="5"/>
    <n v="5"/>
    <n v="4"/>
    <x v="1"/>
    <m/>
  </r>
  <r>
    <x v="0"/>
    <s v="لرستان"/>
    <s v="خرم آباد"/>
    <x v="7"/>
    <x v="1"/>
    <x v="7"/>
    <s v="اکالا"/>
    <n v="734802131"/>
    <n v="103693143"/>
    <n v="631108988"/>
    <n v="0.14111709618871501"/>
    <n v="67171525.000100002"/>
    <n v="170864668"/>
    <n v="563937463"/>
    <n v="531514360"/>
    <n v="598685885.00010002"/>
    <n v="563937463"/>
    <n v="12454273.406779701"/>
    <n v="10696762.5084746"/>
    <n v="9558262.0847457591"/>
    <n v="9.1414439446729306E-2"/>
    <n v="59"/>
    <n v="59"/>
    <n v="49"/>
    <n v="48"/>
    <n v="1"/>
    <n v="0.83050847457627097"/>
    <n v="8.3389830508474603"/>
    <n v="4.5932203389830502"/>
    <n v="0"/>
    <n v="0"/>
    <n v="0"/>
    <n v="1"/>
    <n v="1.6949152542372899E-2"/>
    <n v="0"/>
    <n v="0"/>
    <n v="0"/>
    <n v="0"/>
    <n v="0"/>
    <n v="1"/>
    <n v="1.6949152542372899E-2"/>
    <n v="3"/>
    <n v="6.1224489795918401E-2"/>
    <m/>
    <n v="0"/>
    <n v="2.57833333333333"/>
    <n v="1.4386666666666701"/>
    <n v="4.0170000000000003"/>
    <n v="0"/>
    <n v="0"/>
    <n v="0"/>
    <n v="0"/>
    <s v="---"/>
    <s v="محمد کاظم بستامی"/>
    <m/>
    <n v="5"/>
    <n v="5"/>
    <n v="4"/>
    <x v="3"/>
    <m/>
  </r>
  <r>
    <x v="0"/>
    <s v="لرستان"/>
    <s v="خرم آباد"/>
    <x v="8"/>
    <x v="1"/>
    <x v="8"/>
    <s v="اکالا"/>
    <n v="287212755"/>
    <n v="53510756"/>
    <n v="233701999"/>
    <n v="0.186310513960287"/>
    <n v="21029474.0002"/>
    <n v="74540230"/>
    <n v="212672525"/>
    <n v="198087714"/>
    <n v="219117188.0002"/>
    <n v="212672525"/>
    <n v="28721275.5"/>
    <n v="23370199.899999999"/>
    <n v="21267252.5"/>
    <n v="7.3219150477919007E-2"/>
    <n v="10"/>
    <n v="10"/>
    <n v="6"/>
    <n v="6"/>
    <n v="1"/>
    <n v="0.6"/>
    <n v="19.8"/>
    <n v="8.5"/>
    <n v="0"/>
    <n v="0"/>
    <n v="0"/>
    <n v="0"/>
    <n v="0"/>
    <m/>
    <m/>
    <n v="1"/>
    <n v="0.1"/>
    <n v="0"/>
    <n v="2"/>
    <n v="0.2"/>
    <n v="0"/>
    <n v="0"/>
    <m/>
    <n v="0"/>
    <n v="1.00833333333333"/>
    <n v="3.58666666666667"/>
    <n v="4.5949999999999998"/>
    <n v="0"/>
    <n v="0"/>
    <n v="0"/>
    <n v="0"/>
    <s v="---"/>
    <s v="سامان بسطامی"/>
    <m/>
    <n v="5"/>
    <n v="4"/>
    <n v="4"/>
    <x v="3"/>
    <m/>
  </r>
  <r>
    <x v="0"/>
    <s v="لرستان"/>
    <s v="خرم آباد"/>
    <x v="9"/>
    <x v="1"/>
    <x v="9"/>
    <s v="اکالا"/>
    <n v="815300105"/>
    <n v="124474279"/>
    <n v="690825826"/>
    <n v="0.152672958382607"/>
    <n v="77098256.000400007"/>
    <n v="201572536"/>
    <n v="613727569"/>
    <n v="578223491"/>
    <n v="655321747.00039995"/>
    <n v="613727569"/>
    <n v="12353031.8939394"/>
    <n v="10467057.969697"/>
    <n v="9298902.5606060605"/>
    <n v="9.4564265886750001E-2"/>
    <n v="66"/>
    <n v="66"/>
    <n v="49"/>
    <n v="48"/>
    <n v="1"/>
    <n v="0.74242424242424199"/>
    <n v="6.8484848484848504"/>
    <n v="4.3333333333333304"/>
    <n v="0"/>
    <n v="0"/>
    <n v="0"/>
    <n v="0"/>
    <n v="0"/>
    <m/>
    <m/>
    <n v="0"/>
    <n v="0"/>
    <n v="0"/>
    <n v="2"/>
    <n v="3.03030303030303E-2"/>
    <n v="0"/>
    <n v="0"/>
    <m/>
    <n v="0"/>
    <n v="1.6062893081761001"/>
    <n v="1.8323899371069201"/>
    <n v="3.4386792452830202"/>
    <n v="0"/>
    <n v="0"/>
    <n v="0"/>
    <n v="0"/>
    <s v="---"/>
    <s v="محسن ملکی"/>
    <m/>
    <n v="4"/>
    <n v="5"/>
    <n v="5"/>
    <x v="0"/>
    <m/>
  </r>
  <r>
    <x v="0"/>
    <s v="لرستان"/>
    <s v="خرم آباد"/>
    <x v="10"/>
    <x v="1"/>
    <x v="10"/>
    <s v="اکالا"/>
    <n v="1695283529"/>
    <n v="279729011"/>
    <n v="1415554518"/>
    <n v="0.16500426401535601"/>
    <n v="151534074.00040001"/>
    <n v="431263085"/>
    <n v="1264020444"/>
    <n v="1196934739"/>
    <n v="1348468813.0004001"/>
    <n v="1264020444"/>
    <n v="11080284.503268"/>
    <n v="9251990.3137254901"/>
    <n v="8261571.5294117602"/>
    <n v="8.9385681698745098E-2"/>
    <n v="153"/>
    <n v="153"/>
    <n v="119"/>
    <n v="119"/>
    <n v="1"/>
    <n v="0.77777777777777801"/>
    <n v="6.18954248366013"/>
    <n v="4.4444444444444402"/>
    <n v="0"/>
    <n v="0"/>
    <n v="0"/>
    <n v="1"/>
    <n v="6.5359477124183E-3"/>
    <n v="0"/>
    <n v="0"/>
    <n v="0"/>
    <n v="0"/>
    <n v="0"/>
    <n v="1"/>
    <n v="6.5359477124183E-3"/>
    <n v="1"/>
    <n v="8.4033613445378096E-3"/>
    <m/>
    <n v="0"/>
    <n v="1.34756097560976"/>
    <n v="1.4672086720867199"/>
    <n v="2.8147696476964801"/>
    <n v="0"/>
    <n v="0"/>
    <n v="0"/>
    <n v="0"/>
    <s v="---"/>
    <s v="علی ابراهیمی نیا"/>
    <m/>
    <n v="5"/>
    <n v="5"/>
    <n v="4"/>
    <x v="4"/>
    <m/>
  </r>
  <r>
    <x v="0"/>
    <s v="لرستان"/>
    <s v="خرم آباد"/>
    <x v="11"/>
    <x v="1"/>
    <x v="11"/>
    <s v="اکالا"/>
    <n v="1338876974"/>
    <n v="254084824"/>
    <n v="1084792150"/>
    <n v="0.18977458641394199"/>
    <n v="129923466.99950001"/>
    <n v="384008290"/>
    <n v="954868683"/>
    <n v="905939432"/>
    <n v="1035862898.9995"/>
    <n v="954868683"/>
    <n v="11642408.4695652"/>
    <n v="9432975.2173912991"/>
    <n v="8303205.9391304301"/>
    <n v="9.7039137595477207E-2"/>
    <n v="115"/>
    <n v="115"/>
    <n v="91"/>
    <n v="91"/>
    <n v="1"/>
    <n v="0.79130434782608705"/>
    <n v="6.6782608695652197"/>
    <n v="4.9391304347826104"/>
    <n v="0"/>
    <n v="0"/>
    <n v="0"/>
    <n v="0"/>
    <n v="0"/>
    <m/>
    <m/>
    <n v="0"/>
    <n v="0"/>
    <n v="0"/>
    <n v="1"/>
    <n v="8.6956521739130401E-3"/>
    <n v="0"/>
    <n v="0"/>
    <m/>
    <n v="0"/>
    <n v="1.0885964912280699"/>
    <n v="1.42929824561404"/>
    <n v="2.5178947368421101"/>
    <n v="0"/>
    <n v="0"/>
    <n v="0"/>
    <n v="0"/>
    <s v="---"/>
    <s v="مصطفی سیفی"/>
    <m/>
    <n v="5"/>
    <n v="5"/>
    <n v="5"/>
    <x v="5"/>
    <m/>
  </r>
  <r>
    <x v="0"/>
    <s v="لرستان"/>
    <s v="خرم آباد"/>
    <x v="12"/>
    <x v="1"/>
    <x v="12"/>
    <s v="اکالا"/>
    <n v="1000805900"/>
    <n v="153556842"/>
    <n v="847249058"/>
    <n v="0.153433190192024"/>
    <n v="93218452.0009"/>
    <n v="246775295"/>
    <n v="754030605"/>
    <n v="712535033"/>
    <n v="805753485.00090003"/>
    <n v="754030605"/>
    <n v="9531484.7619047593"/>
    <n v="8069038.64761905"/>
    <n v="7181243.8571428601"/>
    <n v="9.3143387652206602E-2"/>
    <n v="105"/>
    <n v="105"/>
    <n v="83"/>
    <n v="79"/>
    <n v="1"/>
    <n v="0.79047619047619"/>
    <n v="6.3428571428571399"/>
    <n v="4.1523809523809501"/>
    <n v="0"/>
    <n v="0"/>
    <n v="0"/>
    <n v="1"/>
    <n v="9.5238095238095195E-3"/>
    <n v="0"/>
    <n v="0"/>
    <n v="0"/>
    <n v="0"/>
    <n v="0"/>
    <n v="5"/>
    <n v="4.7619047619047603E-2"/>
    <n v="1"/>
    <n v="1.20481927710843E-2"/>
    <m/>
    <n v="0"/>
    <n v="1.70980392156863"/>
    <n v="1.45274509803922"/>
    <n v="3.1625490196078401"/>
    <n v="0"/>
    <n v="0"/>
    <n v="0"/>
    <n v="0"/>
    <s v="---"/>
    <s v="سامان بسطامی"/>
    <m/>
    <n v="5"/>
    <n v="5"/>
    <n v="5"/>
    <x v="3"/>
    <m/>
  </r>
  <r>
    <x v="0"/>
    <s v="لرستان"/>
    <s v="دلفان"/>
    <x v="17"/>
    <x v="1"/>
    <x v="17"/>
    <s v="اکالا"/>
    <n v="350932131"/>
    <n v="86934452"/>
    <n v="263997680"/>
    <n v="0.24772440116063399"/>
    <n v="20835440"/>
    <n v="107769892"/>
    <n v="243162239"/>
    <n v="231310689"/>
    <n v="252146129"/>
    <n v="243162239"/>
    <n v="14037285.24"/>
    <n v="10559907.199999999"/>
    <n v="9726489.5600000005"/>
    <n v="5.93717078040445E-2"/>
    <n v="25"/>
    <n v="25"/>
    <n v="25"/>
    <n v="25"/>
    <n v="1"/>
    <n v="1"/>
    <n v="7.68"/>
    <n v="4.6399999999999997"/>
    <n v="0"/>
    <n v="0"/>
    <n v="0"/>
    <n v="0"/>
    <n v="0"/>
    <m/>
    <m/>
    <n v="0"/>
    <n v="0"/>
    <n v="0"/>
    <n v="0"/>
    <n v="0"/>
    <n v="0"/>
    <n v="0"/>
    <m/>
    <n v="0"/>
    <n v="0.43333333333333302"/>
    <n v="1.8553333333333299"/>
    <n v="2.28866666666667"/>
    <n v="0"/>
    <n v="0"/>
    <n v="0"/>
    <n v="0"/>
    <s v="---"/>
    <s v="میثم جلالوند"/>
    <m/>
    <n v="3"/>
    <n v="4"/>
    <n v="4"/>
    <x v="8"/>
    <m/>
  </r>
  <r>
    <x v="0"/>
    <s v="لرستان"/>
    <s v="دلفان"/>
    <x v="18"/>
    <x v="1"/>
    <x v="18"/>
    <s v="اکالا"/>
    <n v="346996293"/>
    <n v="66180494"/>
    <n v="280815799"/>
    <n v="0.19072392222933601"/>
    <n v="30515745.999299999"/>
    <n v="96696239"/>
    <n v="250300053"/>
    <n v="238570036"/>
    <n v="269085781.9993"/>
    <n v="250300053"/>
    <n v="9638785.9166666698"/>
    <n v="7800438.8611111101"/>
    <n v="6952779.25"/>
    <n v="8.7942570359147099E-2"/>
    <n v="36"/>
    <n v="36"/>
    <n v="35"/>
    <n v="35"/>
    <n v="1"/>
    <n v="0.97222222222222199"/>
    <n v="7.1388888888888902"/>
    <n v="4.8611111111111098"/>
    <n v="0"/>
    <n v="0"/>
    <n v="0"/>
    <n v="0"/>
    <n v="0"/>
    <m/>
    <m/>
    <n v="0"/>
    <n v="0"/>
    <n v="0"/>
    <n v="0"/>
    <n v="0"/>
    <n v="0"/>
    <n v="0"/>
    <m/>
    <n v="0"/>
    <n v="16.7828571428571"/>
    <n v="1.9509523809523801"/>
    <n v="18.733809523809501"/>
    <n v="0"/>
    <n v="0"/>
    <n v="0"/>
    <n v="0"/>
    <s v="---"/>
    <s v="میثم جلالوند"/>
    <m/>
    <n v="4"/>
    <n v="4"/>
    <n v="4"/>
    <x v="8"/>
    <m/>
  </r>
  <r>
    <x v="0"/>
    <s v="لرستان"/>
    <s v="کوهدشت"/>
    <x v="13"/>
    <x v="1"/>
    <x v="13"/>
    <s v="اکالا"/>
    <n v="344596884"/>
    <n v="64015386"/>
    <n v="280581498"/>
    <n v="0.18576890555980799"/>
    <n v="29699699.999600001"/>
    <n v="93715085"/>
    <n v="250881798"/>
    <n v="236485277"/>
    <n v="266184976.99959999"/>
    <n v="250881798"/>
    <n v="10442329.8181818"/>
    <n v="8502469.6363636404"/>
    <n v="7602478.7272727303"/>
    <n v="8.6186791850495298E-2"/>
    <n v="33"/>
    <n v="33"/>
    <n v="31"/>
    <n v="31"/>
    <n v="1"/>
    <n v="0.939393939393939"/>
    <n v="6.51515151515152"/>
    <n v="4.5757575757575797"/>
    <n v="0"/>
    <n v="0"/>
    <n v="0"/>
    <n v="0"/>
    <n v="0"/>
    <m/>
    <m/>
    <n v="0"/>
    <n v="0"/>
    <n v="0"/>
    <n v="0"/>
    <n v="0"/>
    <n v="0"/>
    <n v="0"/>
    <m/>
    <n v="0"/>
    <n v="0.86612903225806503"/>
    <n v="1.2666666666666699"/>
    <n v="2.1327956989247299"/>
    <n v="0"/>
    <n v="0"/>
    <n v="0"/>
    <n v="0"/>
    <s v="---"/>
    <s v=""/>
    <m/>
    <m/>
    <m/>
    <m/>
    <x v="6"/>
    <m/>
  </r>
  <r>
    <x v="0"/>
    <s v="لرستان"/>
    <s v="کوهدشت"/>
    <x v="14"/>
    <x v="1"/>
    <x v="14"/>
    <s v="اکالا"/>
    <n v="562200939"/>
    <n v="108681916"/>
    <n v="453519023"/>
    <n v="0.19331507377649501"/>
    <n v="38906465.999600001"/>
    <n v="147588381"/>
    <n v="414612557"/>
    <n v="392919785"/>
    <n v="431826250.99959999"/>
    <n v="414612557"/>
    <n v="9863174.3684210498"/>
    <n v="7956474.0877192998"/>
    <n v="7273904.5087719299"/>
    <n v="6.92038437360777E-2"/>
    <n v="57"/>
    <n v="57"/>
    <n v="52"/>
    <n v="52"/>
    <n v="1"/>
    <n v="0.91228070175438603"/>
    <n v="5.9298245614035103"/>
    <n v="3.87719298245614"/>
    <n v="0"/>
    <n v="0"/>
    <n v="0"/>
    <n v="0"/>
    <n v="0"/>
    <m/>
    <m/>
    <n v="0"/>
    <n v="0"/>
    <n v="0"/>
    <n v="3"/>
    <n v="5.2631578947368397E-2"/>
    <n v="1"/>
    <n v="1.9230769230769201E-2"/>
    <m/>
    <n v="0"/>
    <n v="1.01757575757576"/>
    <n v="1.58393939393939"/>
    <n v="2.6015151515151498"/>
    <n v="0"/>
    <n v="0"/>
    <n v="0"/>
    <n v="0"/>
    <s v="---"/>
    <s v="جواد رستمی"/>
    <m/>
    <n v="4"/>
    <n v="5"/>
    <n v="4"/>
    <x v="7"/>
    <m/>
  </r>
  <r>
    <x v="0"/>
    <s v="لرستان"/>
    <s v="کوهدشت"/>
    <x v="15"/>
    <x v="1"/>
    <x v="15"/>
    <s v="اکالا"/>
    <n v="603072499"/>
    <n v="106125280"/>
    <n v="496947219"/>
    <n v="0.17597433173619101"/>
    <n v="39468680.9991"/>
    <n v="145593960"/>
    <n v="457478538"/>
    <n v="435037299"/>
    <n v="474505979.99910003"/>
    <n v="457478538"/>
    <n v="11168009.2407407"/>
    <n v="9202726.2777777798"/>
    <n v="8471824.7777777798"/>
    <n v="6.5445996955875094E-2"/>
    <n v="54"/>
    <n v="54"/>
    <n v="48"/>
    <n v="48"/>
    <n v="1"/>
    <n v="0.88888888888888895"/>
    <n v="5.1111111111111098"/>
    <n v="4.3703703703703702"/>
    <n v="0"/>
    <n v="0"/>
    <n v="0"/>
    <n v="0"/>
    <n v="0"/>
    <m/>
    <m/>
    <n v="0"/>
    <n v="0"/>
    <n v="0"/>
    <n v="2"/>
    <n v="3.7037037037037E-2"/>
    <n v="0"/>
    <n v="0"/>
    <m/>
    <n v="0"/>
    <n v="0.91966666666666697"/>
    <n v="1.53866666666667"/>
    <n v="2.4583333333333299"/>
    <n v="0"/>
    <n v="0"/>
    <n v="0"/>
    <n v="0"/>
    <s v="---"/>
    <s v="جواد رستمی"/>
    <m/>
    <n v="5"/>
    <n v="5"/>
    <n v="4"/>
    <x v="7"/>
    <m/>
  </r>
  <r>
    <x v="0"/>
    <s v="لرستان"/>
    <s v="کوهدشت"/>
    <x v="16"/>
    <x v="1"/>
    <x v="16"/>
    <s v="اکالا"/>
    <n v="657346843"/>
    <n v="122985604"/>
    <n v="534361239"/>
    <n v="0.187093929650165"/>
    <n v="50183169.999700002"/>
    <n v="173168773"/>
    <n v="484178069"/>
    <n v="460779954"/>
    <n v="510963123.99970001"/>
    <n v="484178069"/>
    <n v="10113028.3538462"/>
    <n v="8220942.1384615405"/>
    <n v="7448893.3692307696"/>
    <n v="7.6341995794275502E-2"/>
    <n v="65"/>
    <n v="65"/>
    <n v="59"/>
    <n v="57"/>
    <n v="1"/>
    <n v="0.90769230769230802"/>
    <n v="6.3076923076923102"/>
    <n v="4.6769230769230798"/>
    <n v="0"/>
    <n v="0"/>
    <n v="0"/>
    <n v="0"/>
    <n v="0"/>
    <m/>
    <m/>
    <n v="0"/>
    <n v="0"/>
    <n v="0"/>
    <n v="4"/>
    <n v="6.15384615384615E-2"/>
    <n v="1"/>
    <n v="1.6949152542372899E-2"/>
    <m/>
    <n v="0"/>
    <n v="1.1583333333333301"/>
    <n v="1.6357526881720399"/>
    <n v="2.7940860215053802"/>
    <n v="0"/>
    <n v="0"/>
    <n v="0"/>
    <n v="0"/>
    <s v="---"/>
    <s v="فیاض رحیم زاده دیالی"/>
    <m/>
    <n v="6"/>
    <n v="6"/>
    <n v="5"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78BB9-D834-4CA8-A051-DB26DC0814B8}" name="PivotTable2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7" indent="0" compact="0" compactData="0" multipleFieldFilters="0" chartFormat="2" rowHeaderCaption="نام ">
  <location ref="H6:V24" firstHeaderRow="0" firstDataRow="1" firstDataCol="3"/>
  <pivotFields count="66">
    <pivotField compact="0" outline="0" subtotalTop="0" showAll="0" defaultSubtotal="0">
      <items count="2">
        <item x="0"/>
        <item m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نام شعبه " axis="axisRow" compact="0" outline="0" subtotalTop="0" showAll="0" sortType="descending" defaultSubtotal="0">
      <items count="24">
        <item x="1"/>
        <item x="2"/>
        <item m="1" x="23"/>
        <item x="3"/>
        <item m="1" x="22"/>
        <item x="4"/>
        <item x="5"/>
        <item m="1" x="21"/>
        <item x="0"/>
        <item x="6"/>
        <item x="7"/>
        <item x="8"/>
        <item x="9"/>
        <item x="10"/>
        <item x="11"/>
        <item x="12"/>
        <item x="17"/>
        <item x="18"/>
        <item x="13"/>
        <item x="14"/>
        <item x="15"/>
        <item x="16"/>
        <item m="1" x="20"/>
        <item m="1" x="19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ubtotalTop="0" multipleItemSelectionAllowed="1" showAll="0" sortType="descending" defaultSubtotal="0">
      <items count="8">
        <item x="0"/>
        <item h="1" x="1"/>
        <item m="1" x="6"/>
        <item m="1" x="5"/>
        <item m="1" x="7"/>
        <item m="1" x="4"/>
        <item m="1" x="3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sortType="descending" defaultSubtotal="0">
      <items count="24">
        <item x="16"/>
        <item x="12"/>
        <item x="10"/>
        <item x="11"/>
        <item x="4"/>
        <item x="7"/>
        <item x="15"/>
        <item x="18"/>
        <item x="1"/>
        <item x="0"/>
        <item m="1" x="23"/>
        <item x="6"/>
        <item x="9"/>
        <item x="14"/>
        <item x="17"/>
        <item x="8"/>
        <item m="1" x="22"/>
        <item x="5"/>
        <item m="1" x="21"/>
        <item x="3"/>
        <item m="1" x="20"/>
        <item x="2"/>
        <item x="13"/>
        <item m="1" x="19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multipleItemSelectionAllowed="1" showAll="0" defaultSubtotal="0">
      <items count="19">
        <item n="جواد رستمی" sd="0" m="1" x="18"/>
        <item x="3"/>
        <item sd="0" m="1" x="12"/>
        <item n="فیاض رحیم زاده" sd="0" m="1" x="15"/>
        <item x="0"/>
        <item sd="0" m="1" x="11"/>
        <item sd="0" m="1" x="10"/>
        <item x="2"/>
        <item x="5"/>
        <item sd="0" m="1" x="13"/>
        <item sd="0" m="1" x="14"/>
        <item sd="0" m="1" x="17"/>
        <item m="1" x="16"/>
        <item m="1" x="9"/>
        <item x="4"/>
        <item x="8"/>
        <item x="6"/>
        <item n="جواد رستمی2" x="7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58"/>
    <field x="3"/>
  </rowFields>
  <rowItems count="18">
    <i>
      <x/>
      <x v="14"/>
      <x v="13"/>
    </i>
    <i r="1">
      <x v="1"/>
      <x v="10"/>
    </i>
    <i r="2">
      <x v="15"/>
    </i>
    <i r="2">
      <x v="11"/>
    </i>
    <i r="1">
      <x v="18"/>
      <x v="6"/>
    </i>
    <i r="2">
      <x v="9"/>
    </i>
    <i r="2">
      <x/>
    </i>
    <i r="2">
      <x v="3"/>
    </i>
    <i r="1">
      <x v="4"/>
      <x v="8"/>
    </i>
    <i r="2">
      <x v="12"/>
    </i>
    <i r="1">
      <x v="17"/>
      <x v="19"/>
    </i>
    <i r="2">
      <x v="20"/>
    </i>
    <i r="1">
      <x v="7"/>
      <x v="5"/>
    </i>
    <i r="2">
      <x v="1"/>
    </i>
    <i r="1">
      <x v="16"/>
      <x v="21"/>
    </i>
    <i r="2">
      <x v="18"/>
    </i>
    <i r="1">
      <x v="8"/>
      <x v="14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  ثبتی" fld="21" baseField="0" baseItem="0"/>
    <dataField name=" تحویلی" fld="22" baseField="0" baseItem="0"/>
    <dataField name=" تاخیر" fld="41" baseField="0" baseItem="0"/>
    <dataField name="  درصد تاخیر    " fld="64" subtotal="average" baseField="3" baseItem="0" numFmtId="10"/>
    <dataField name=" ناموجودی" fld="36" baseField="0" baseItem="0"/>
    <dataField name="  درصد ناموجودی     " fld="65" subtotal="average" baseField="3" baseItem="0" numFmtId="10"/>
    <dataField name="  انتظار جورچین" fld="45" subtotal="average" baseField="58" baseItem="8" numFmtId="164"/>
    <dataField name="  جورچینی" fld="46" subtotal="average" baseField="58" baseItem="8" numFmtId="164"/>
    <dataField name=" کنسلی به دلیل تاخیر" fld="44" baseField="0" baseItem="0"/>
    <dataField name=" عدم جمع‌آوری" fld="29" baseField="0" baseItem="0"/>
    <dataField name=" مرجوعی" fld="39" baseField="0" baseItem="0"/>
    <dataField name=" نسبت تحویلی به ثبتی" fld="25" subtotal="average" baseField="58" baseItem="6" numFmtId="10"/>
  </dataFields>
  <formats count="99">
    <format dxfId="9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0" type="button" dataOnly="0" labelOnly="1" outline="0"/>
    </format>
    <format dxfId="16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6">
            <x v="0"/>
            <x v="1"/>
            <x v="2"/>
            <x v="4"/>
            <x v="8"/>
            <x v="9"/>
          </reference>
        </references>
      </pivotArea>
    </format>
    <format dxfId="18">
      <pivotArea field="0" type="button" dataOnly="0" labelOnly="1" outline="0"/>
    </format>
    <format dxfId="19">
      <pivotArea dataOnly="0" labelOnly="1" outline="0" fieldPosition="0">
        <references count="1">
          <reference field="4294967294" count="6">
            <x v="0"/>
            <x v="1"/>
            <x v="2"/>
            <x v="4"/>
            <x v="8"/>
            <x v="9"/>
          </reference>
        </references>
      </pivotArea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0" type="button" dataOnly="0" labelOnly="1" outline="0"/>
    </format>
    <format dxfId="23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6">
            <x v="0"/>
            <x v="1"/>
            <x v="2"/>
            <x v="4"/>
            <x v="8"/>
            <x v="9"/>
          </reference>
        </references>
      </pivotArea>
    </format>
    <format dxfId="25">
      <pivotArea outline="0" collapsedLevelsAreSubtotals="1" fieldPosition="0">
        <references count="1">
          <reference field="4294967294" count="2" selected="0">
            <x v="8"/>
            <x v="9"/>
          </reference>
        </references>
      </pivotArea>
    </format>
    <format dxfId="26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27">
      <pivotArea outline="0" collapsedLevelsAreSubtotals="1" fieldPosition="0">
        <references count="1">
          <reference field="4294967294" count="2" selected="0">
            <x v="6"/>
            <x v="7"/>
          </reference>
        </references>
      </pivotArea>
    </format>
    <format dxfId="28">
      <pivotArea dataOnly="0" labelOnly="1" outline="0" fieldPosition="0">
        <references count="1">
          <reference field="4294967294" count="2">
            <x v="6"/>
            <x v="7"/>
          </reference>
        </references>
      </pivotArea>
    </format>
    <format dxfId="29">
      <pivotArea type="all" dataOnly="0" outline="0" fieldPosition="0"/>
    </format>
    <format dxfId="30">
      <pivotArea field="58" type="button" dataOnly="0" labelOnly="1" outline="0" axis="axisRow" fieldPosition="1"/>
    </format>
    <format dxfId="31">
      <pivotArea field="58" type="button" dataOnly="0" labelOnly="1" outline="0" axis="axisRow" fieldPosition="1"/>
    </format>
    <format dxfId="32">
      <pivotArea type="all" dataOnly="0" outline="0" fieldPosition="0"/>
    </format>
    <format dxfId="33">
      <pivotArea dataOnly="0" grandRow="1" fieldPosition="0"/>
    </format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58" type="button" dataOnly="0" labelOnly="1" outline="0" axis="axisRow" fieldPosition="1"/>
    </format>
    <format dxfId="37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8">
            <x v="0"/>
            <x v="1"/>
            <x v="2"/>
            <x v="4"/>
            <x v="6"/>
            <x v="7"/>
            <x v="8"/>
            <x v="9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40">
      <pivotArea field="58" type="button" dataOnly="0" labelOnly="1" outline="0" axis="axisRow" fieldPosition="1"/>
    </format>
    <format dxfId="41">
      <pivotArea dataOnly="0" labelOnly="1" outline="0" fieldPosition="0">
        <references count="1">
          <reference field="4294967294" count="9">
            <x v="0"/>
            <x v="1"/>
            <x v="2"/>
            <x v="4"/>
            <x v="6"/>
            <x v="7"/>
            <x v="8"/>
            <x v="9"/>
            <x v="10"/>
          </reference>
        </references>
      </pivotArea>
    </format>
    <format dxfId="42">
      <pivotArea outline="0" fieldPosition="0">
        <references count="1">
          <reference field="4294967294" count="1">
            <x v="11"/>
          </reference>
        </references>
      </pivotArea>
    </format>
    <format dxfId="43">
      <pivotArea outline="0" collapsedLevelsAreSubtotals="1" fieldPosition="0">
        <references count="1">
          <reference field="4294967294" count="10" selected="0">
            <x v="0"/>
            <x v="1"/>
            <x v="2"/>
            <x v="4"/>
            <x v="6"/>
            <x v="7"/>
            <x v="8"/>
            <x v="9"/>
            <x v="10"/>
            <x v="11"/>
          </reference>
        </references>
      </pivotArea>
    </format>
    <format dxfId="44">
      <pivotArea field="3" type="button" dataOnly="0" labelOnly="1" outline="0" axis="axisRow" fieldPosition="2"/>
    </format>
    <format dxfId="45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10">
            <x v="0"/>
            <x v="1"/>
            <x v="2"/>
            <x v="4"/>
            <x v="6"/>
            <x v="7"/>
            <x v="8"/>
            <x v="9"/>
            <x v="10"/>
            <x v="11"/>
          </reference>
        </references>
      </pivotArea>
    </format>
    <format dxfId="47">
      <pivotArea type="all" dataOnly="0" outline="0" fieldPosition="0"/>
    </format>
    <format dxfId="48">
      <pivotArea outline="0" collapsedLevelsAreSubtotals="1" fieldPosition="0"/>
    </format>
    <format dxfId="49">
      <pivotArea field="3" type="button" dataOnly="0" labelOnly="1" outline="0" axis="axisRow" fieldPosition="2"/>
    </format>
    <format dxfId="50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10">
            <x v="0"/>
            <x v="1"/>
            <x v="2"/>
            <x v="4"/>
            <x v="6"/>
            <x v="7"/>
            <x v="8"/>
            <x v="9"/>
            <x v="10"/>
            <x v="11"/>
          </reference>
        </references>
      </pivotArea>
    </format>
    <format dxfId="52">
      <pivotArea outline="0" fieldPosition="0">
        <references count="1">
          <reference field="4294967294" count="1">
            <x v="3"/>
          </reference>
        </references>
      </pivotArea>
    </format>
    <format dxfId="53">
      <pivotArea outline="0" fieldPosition="0">
        <references count="1">
          <reference field="4294967294" count="1">
            <x v="5"/>
          </reference>
        </references>
      </pivotArea>
    </format>
    <format dxfId="54">
      <pivotArea field="3" outline="0" collapsedLevelsAreSubtotals="1" axis="axisRow" fieldPosition="2">
        <references count="1">
          <reference field="4294967294" count="1" selected="0">
            <x v="3"/>
          </reference>
        </references>
      </pivotArea>
    </format>
    <format dxfId="5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58">
      <pivotArea field="58" grandRow="1" outline="0" collapsedLevelsAreSubtotals="1" axis="axisRow" fieldPosition="1">
        <references count="1">
          <reference field="4294967294" count="1" selected="0">
            <x v="3"/>
          </reference>
        </references>
      </pivotArea>
    </format>
    <format dxfId="59">
      <pivotArea grandRow="1" outline="0" collapsedLevelsAreSubtotals="1" fieldPosition="0"/>
    </format>
    <format dxfId="60">
      <pivotArea dataOnly="0" labelOnly="1" grandRow="1" outline="0" fieldPosition="0"/>
    </format>
    <format dxfId="61">
      <pivotArea field="58" grandRow="1" outline="0" collapsedLevelsAreSubtotals="1" axis="axisRow" fieldPosition="1">
        <references count="1">
          <reference field="4294967294" count="1" selected="0">
            <x v="3"/>
          </reference>
        </references>
      </pivotArea>
    </format>
    <format dxfId="62">
      <pivotArea grandRow="1" outline="0" collapsedLevelsAreSubtotals="1" fieldPosition="0"/>
    </format>
    <format dxfId="63">
      <pivotArea dataOnly="0" labelOnly="1" grandRow="1" outline="0" fieldPosition="0"/>
    </format>
    <format dxfId="64">
      <pivotArea type="all" dataOnly="0" outline="0" fieldPosition="0"/>
    </format>
    <format dxfId="65">
      <pivotArea outline="0" collapsedLevelsAreSubtotals="1" fieldPosition="0"/>
    </format>
    <format dxfId="66">
      <pivotArea field="5" type="button" dataOnly="0" labelOnly="1" outline="0"/>
    </format>
    <format dxfId="67">
      <pivotArea field="3" type="button" dataOnly="0" labelOnly="1" outline="0" axis="axisRow" fieldPosition="2"/>
    </format>
    <format dxfId="68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0">
      <pivotArea outline="0" fieldPosition="0">
        <references count="1">
          <reference field="4294967294" count="1" selected="0">
            <x v="3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2">
      <pivotArea dataOnly="0" labelOnly="1" grandRow="1" outline="0" fieldPosition="0"/>
    </format>
    <format dxfId="73">
      <pivotArea field="3" outline="0" axis="axisRow" fieldPosition="2">
        <references count="1">
          <reference field="4294967294" count="1" selected="0">
            <x v="3"/>
          </reference>
        </references>
      </pivotArea>
    </format>
    <format dxfId="74">
      <pivotArea outline="0" fieldPosition="0">
        <references count="1">
          <reference field="4294967294" count="1" selected="0">
            <x v="3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6">
      <pivotArea outline="0" fieldPosition="0">
        <references count="1">
          <reference field="4294967294" count="1" selected="0">
            <x v="3"/>
          </reference>
        </references>
      </pivotArea>
    </format>
    <format dxfId="77">
      <pivotArea outline="0" fieldPosition="0">
        <references count="1">
          <reference field="4294967294" count="1" selected="0">
            <x v="5"/>
          </reference>
        </references>
      </pivotArea>
    </format>
    <format dxfId="78">
      <pivotArea outline="0" fieldPosition="0">
        <references count="1">
          <reference field="4294967294" count="1" selected="0">
            <x v="3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81">
      <pivotArea field="3" grandRow="1" outline="0" axis="axisRow" fieldPosition="2">
        <references count="1">
          <reference field="4294967294" count="3" selected="0">
            <x v="3"/>
            <x v="4"/>
            <x v="5"/>
          </reference>
        </references>
      </pivotArea>
    </format>
    <format dxfId="82">
      <pivotArea field="58" grandRow="1" outline="0" axis="axisRow" fieldPosition="1">
        <references count="1">
          <reference field="4294967294" count="1" selected="0">
            <x v="3"/>
          </reference>
        </references>
      </pivotArea>
    </format>
    <format dxfId="83">
      <pivotArea field="3" grandRow="1" outline="0" axis="axisRow" fieldPosition="2">
        <references count="1">
          <reference field="4294967294" count="1" selected="0">
            <x v="3"/>
          </reference>
        </references>
      </pivotArea>
    </format>
    <format dxfId="84">
      <pivotArea field="3" grandRow="1" outline="0" axis="axisRow" fieldPosition="2">
        <references count="1">
          <reference field="4294967294" count="1" selected="0">
            <x v="3"/>
          </reference>
        </references>
      </pivotArea>
    </format>
    <format dxfId="85">
      <pivotArea field="58" grandRow="1" outline="0" axis="axisRow" fieldPosition="1">
        <references count="1">
          <reference field="4294967294" count="1" selected="0">
            <x v="5"/>
          </reference>
        </references>
      </pivotArea>
    </format>
    <format dxfId="86">
      <pivotArea field="58" grandRow="1" outline="0" axis="axisRow" fieldPosition="1">
        <references count="1">
          <reference field="4294967294" count="1" selected="0">
            <x v="5"/>
          </reference>
        </references>
      </pivotArea>
    </format>
    <format dxfId="87">
      <pivotArea field="58" grandRow="1" outline="0" axis="axisRow" fieldPosition="1">
        <references count="1">
          <reference field="4294967294" count="1" selected="0">
            <x v="5"/>
          </reference>
        </references>
      </pivotArea>
    </format>
    <format dxfId="88">
      <pivotArea field="58" grandRow="1" outline="0" axis="axisRow" fieldPosition="1">
        <references count="1">
          <reference field="4294967294" count="1" selected="0">
            <x v="5"/>
          </reference>
        </references>
      </pivotArea>
    </format>
    <format dxfId="89">
      <pivotArea field="58" grandRow="1" outline="0" axis="axisRow" fieldPosition="1">
        <references count="1">
          <reference field="4294967294" count="1" selected="0">
            <x v="5"/>
          </reference>
        </references>
      </pivotArea>
    </format>
    <format dxfId="90">
      <pivotArea outline="0" fieldPosition="0">
        <references count="2">
          <reference field="4294967294" count="1" selected="0">
            <x v="3"/>
          </reference>
          <reference field="3" count="10" selected="0">
            <x v="0"/>
            <x v="3"/>
            <x v="4"/>
            <x v="6"/>
            <x v="9"/>
            <x v="11"/>
            <x v="13"/>
            <x v="19"/>
            <x v="20"/>
            <x v="22"/>
          </reference>
        </references>
      </pivotArea>
    </format>
    <format dxfId="91">
      <pivotArea outline="0" fieldPosition="0">
        <references count="2">
          <reference field="4294967294" count="1" selected="0">
            <x v="5"/>
          </reference>
          <reference field="3" count="1" selected="0">
            <x v="22"/>
          </reference>
        </references>
      </pivotArea>
    </format>
    <format dxfId="92">
      <pivotArea outline="0" fieldPosition="0">
        <references count="2">
          <reference field="4294967294" count="1" selected="0">
            <x v="5"/>
          </reference>
          <reference field="3" count="2" selected="0">
            <x v="6"/>
            <x v="11"/>
          </reference>
        </references>
      </pivotArea>
    </format>
    <format dxfId="93">
      <pivotArea outline="0" fieldPosition="0">
        <references count="2">
          <reference field="4294967294" count="1" selected="0">
            <x v="5"/>
          </reference>
          <reference field="3" count="1" selected="0">
            <x v="9"/>
          </reference>
        </references>
      </pivotArea>
    </format>
    <format dxfId="94">
      <pivotArea outline="0" fieldPosition="0">
        <references count="2">
          <reference field="4294967294" count="1" selected="0">
            <x v="5"/>
          </reference>
          <reference field="3" count="1" selected="0">
            <x v="5"/>
          </reference>
        </references>
      </pivotArea>
    </format>
    <format dxfId="95">
      <pivotArea outline="0" fieldPosition="0">
        <references count="2">
          <reference field="4294967294" count="1" selected="0">
            <x v="5"/>
          </reference>
          <reference field="3" count="1" selected="0">
            <x v="1"/>
          </reference>
        </references>
      </pivotArea>
    </format>
    <format dxfId="96">
      <pivotArea dataOnly="0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97">
      <pivotArea field="3" grandRow="1" outline="0" axis="axisRow" fieldPosition="2">
        <references count="1">
          <reference field="4294967294" count="1" selected="0">
            <x v="3"/>
          </reference>
        </references>
      </pivotArea>
    </format>
    <format dxfId="98">
      <pivotArea field="3" grandRow="1" outline="0" axis="axisRow" fieldPosition="2">
        <references count="1">
          <reference field="4294967294" count="1" selected="0">
            <x v="5"/>
          </reference>
        </references>
      </pivotArea>
    </format>
    <format dxfId="99">
      <pivotArea field="3" grandRow="1" outline="0" axis="axisRow" fieldPosition="2">
        <references count="1">
          <reference field="4294967294" count="1" selected="0">
            <x v="3"/>
          </reference>
        </references>
      </pivotArea>
    </format>
    <format dxfId="100">
      <pivotArea field="3" grandRow="1" outline="0" axis="axisRow" fieldPosition="2">
        <references count="1">
          <reference field="4294967294" count="1" selected="0">
            <x v="3"/>
          </reference>
        </references>
      </pivotArea>
    </format>
    <format dxfId="101">
      <pivotArea type="all" dataOnly="0" outline="0" fieldPosition="0"/>
    </format>
    <format dxfId="102">
      <pivotArea outline="0" collapsedLevelsAreSubtotals="1" fieldPosition="0"/>
    </format>
    <format dxfId="103">
      <pivotArea field="58" type="button" dataOnly="0" labelOnly="1" outline="0" axis="axisRow" fieldPosition="1"/>
    </format>
    <format dxfId="104">
      <pivotArea field="3" type="button" dataOnly="0" labelOnly="1" outline="0" axis="axisRow" fieldPosition="2"/>
    </format>
    <format dxfId="105">
      <pivotArea dataOnly="0" labelOnly="1" grandRow="1" outline="0" fieldPosition="0"/>
    </format>
    <format dxfId="10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07">
      <pivotArea dataOnly="0" labelOnly="1" outline="0" fieldPosition="0">
        <references count="1">
          <reference field="4294967294" count="1">
            <x v="5"/>
          </reference>
        </references>
      </pivotArea>
    </format>
  </formats>
  <conditionalFormats count="2">
    <conditionalFormat scope="data" priority="2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B9A2E-8A5D-4D86-8C53-295C880B247F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7:G32" firstHeaderRow="1" firstDataRow="1" firstDataCol="7" rowPageCount="1" colPageCount="1"/>
  <pivotFields count="21">
    <pivotField axis="axisRow" compact="0" numFmtId="1" outline="0" showAll="0" sortType="descending" defaultSubtotal="0">
      <items count="26">
        <item x="10"/>
        <item x="9"/>
        <item x="8"/>
        <item x="7"/>
        <item x="6"/>
        <item x="5"/>
        <item x="4"/>
        <item x="3"/>
        <item x="2"/>
        <item x="1"/>
        <item x="0"/>
        <item m="1" x="19"/>
        <item m="1" x="17"/>
        <item m="1" x="15"/>
        <item m="1" x="12"/>
        <item m="1" x="24"/>
        <item m="1" x="13"/>
        <item m="1" x="25"/>
        <item m="1" x="22"/>
        <item m="1" x="21"/>
        <item m="1" x="20"/>
        <item m="1" x="18"/>
        <item m="1" x="16"/>
        <item m="1" x="14"/>
        <item m="1" x="11"/>
        <item m="1"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howAll="0" defaultSubtotal="0">
      <items count="6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5"/>
        <item x="2"/>
        <item x="0"/>
        <item x="4"/>
        <item x="9"/>
        <item x="11"/>
        <item m="1" x="13"/>
        <item x="8"/>
        <item x="1"/>
        <item m="1" x="15"/>
        <item x="7"/>
        <item m="1" x="14"/>
        <item x="12"/>
        <item x="3"/>
        <item x="6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">
        <item m="1" x="24"/>
        <item m="1" x="20"/>
        <item m="1" x="23"/>
        <item m="1" x="21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3">
        <item m="1" x="73"/>
        <item m="1" x="74"/>
        <item m="1" x="78"/>
        <item m="1" x="103"/>
        <item m="1" x="100"/>
        <item m="1" x="57"/>
        <item m="1" x="40"/>
        <item m="1" x="22"/>
        <item m="1" x="90"/>
        <item m="1" x="96"/>
        <item m="1" x="102"/>
        <item m="1" x="68"/>
        <item m="1" x="56"/>
        <item m="1" x="105"/>
        <item x="1"/>
        <item m="1" x="42"/>
        <item m="1" x="26"/>
        <item m="1" x="50"/>
        <item m="1" x="55"/>
        <item m="1" x="93"/>
        <item m="1" x="62"/>
        <item m="1" x="83"/>
        <item m="1" x="82"/>
        <item m="1" x="43"/>
        <item m="1" x="39"/>
        <item m="1" x="97"/>
        <item m="1" x="75"/>
        <item m="1" x="111"/>
        <item m="1" x="76"/>
        <item m="1" x="37"/>
        <item m="1" x="61"/>
        <item m="1" x="92"/>
        <item m="1" x="32"/>
        <item m="1" x="23"/>
        <item m="1" x="106"/>
        <item m="1" x="24"/>
        <item m="1" x="69"/>
        <item m="1" x="49"/>
        <item m="1" x="84"/>
        <item m="1" x="94"/>
        <item m="1" x="99"/>
        <item m="1" x="45"/>
        <item m="1" x="47"/>
        <item m="1" x="89"/>
        <item m="1" x="79"/>
        <item m="1" x="27"/>
        <item m="1" x="95"/>
        <item m="1" x="28"/>
        <item m="1" x="59"/>
        <item m="1" x="86"/>
        <item m="1" x="80"/>
        <item m="1" x="25"/>
        <item m="1" x="91"/>
        <item m="1" x="53"/>
        <item m="1" x="33"/>
        <item m="1" x="85"/>
        <item m="1" x="72"/>
        <item m="1" x="104"/>
        <item m="1" x="36"/>
        <item m="1" x="110"/>
        <item m="1" x="88"/>
        <item m="1" x="112"/>
        <item m="1" x="66"/>
        <item m="1" x="41"/>
        <item m="1" x="34"/>
        <item m="1" x="107"/>
        <item m="1" x="81"/>
        <item m="1" x="29"/>
        <item m="1" x="71"/>
        <item m="1" x="70"/>
        <item m="1" x="20"/>
        <item m="1" x="48"/>
        <item m="1" x="65"/>
        <item x="0"/>
        <item m="1" x="52"/>
        <item m="1" x="21"/>
        <item m="1" x="64"/>
        <item m="1" x="35"/>
        <item m="1" x="108"/>
        <item m="1" x="101"/>
        <item m="1" x="87"/>
        <item m="1" x="67"/>
        <item m="1" x="98"/>
        <item m="1" x="63"/>
        <item m="1" x="30"/>
        <item m="1" x="46"/>
        <item m="1" x="31"/>
        <item m="1" x="51"/>
        <item m="1" x="58"/>
        <item m="1" x="38"/>
        <item m="1" x="109"/>
        <item m="1" x="60"/>
        <item m="1" x="54"/>
        <item m="1" x="44"/>
        <item m="1" x="7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6">
        <item m="1" x="21"/>
        <item m="1" x="22"/>
        <item m="1" x="25"/>
        <item m="1" x="24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6">
        <item m="1" x="80"/>
        <item m="1" x="86"/>
        <item m="1" x="25"/>
        <item m="1" x="36"/>
        <item m="1" x="110"/>
        <item m="1" x="63"/>
        <item m="1" x="53"/>
        <item m="1" x="40"/>
        <item m="1" x="98"/>
        <item m="1" x="124"/>
        <item m="1" x="102"/>
        <item m="1" x="50"/>
        <item m="1" x="32"/>
        <item m="1" x="74"/>
        <item m="1" x="62"/>
        <item m="1" x="109"/>
        <item m="1" x="27"/>
        <item m="1" x="41"/>
        <item m="1" x="57"/>
        <item m="1" x="23"/>
        <item m="1" x="52"/>
        <item m="1" x="51"/>
        <item m="1" x="56"/>
        <item m="1" x="65"/>
        <item m="1" x="71"/>
        <item m="1" x="31"/>
        <item m="1" x="61"/>
        <item m="1" x="44"/>
        <item m="1" x="45"/>
        <item m="1" x="38"/>
        <item m="1" x="107"/>
        <item m="1" x="116"/>
        <item m="1" x="122"/>
        <item m="1" x="83"/>
        <item m="1" x="67"/>
        <item m="1" x="58"/>
        <item m="1" x="30"/>
        <item m="1" x="93"/>
        <item m="1" x="118"/>
        <item m="1" x="24"/>
        <item m="1" x="75"/>
        <item m="1" x="99"/>
        <item m="1" x="94"/>
        <item m="1" x="21"/>
        <item m="1" x="82"/>
        <item m="1" x="47"/>
        <item m="1" x="60"/>
        <item m="1" x="95"/>
        <item m="1" x="89"/>
        <item m="1" x="105"/>
        <item m="1" x="87"/>
        <item m="1" x="113"/>
        <item m="1" x="90"/>
        <item m="1" x="26"/>
        <item m="1" x="49"/>
        <item m="1" x="77"/>
        <item m="1" x="84"/>
        <item m="1" x="70"/>
        <item x="1"/>
        <item m="1" x="33"/>
        <item m="1" x="28"/>
        <item m="1" x="34"/>
        <item m="1" x="114"/>
        <item m="1" x="81"/>
        <item m="1" x="123"/>
        <item m="1" x="104"/>
        <item m="1" x="101"/>
        <item m="1" x="115"/>
        <item m="1" x="125"/>
        <item m="1" x="79"/>
        <item m="1" x="42"/>
        <item m="1" x="59"/>
        <item m="1" x="119"/>
        <item m="1" x="91"/>
        <item m="1" x="48"/>
        <item m="1" x="120"/>
        <item m="1" x="106"/>
        <item m="1" x="76"/>
        <item m="1" x="103"/>
        <item m="1" x="39"/>
        <item m="1" x="72"/>
        <item x="18"/>
        <item m="1" x="55"/>
        <item m="1" x="22"/>
        <item m="1" x="92"/>
        <item m="1" x="35"/>
        <item m="1" x="117"/>
        <item m="1" x="111"/>
        <item m="1" x="100"/>
        <item m="1" x="73"/>
        <item m="1" x="108"/>
        <item m="1" x="69"/>
        <item m="1" x="88"/>
        <item m="1" x="96"/>
        <item m="1" x="43"/>
        <item m="1" x="29"/>
        <item m="1" x="54"/>
        <item m="1" x="64"/>
        <item m="1" x="37"/>
        <item m="1" x="78"/>
        <item m="1" x="97"/>
        <item m="1" x="121"/>
        <item m="1" x="66"/>
        <item m="1" x="112"/>
        <item m="1" x="68"/>
        <item m="1" x="46"/>
        <item m="1" x="85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m="1" x="4"/>
        <item m="1" x="3"/>
        <item m="1" x="5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9">
        <item x="8"/>
        <item x="3"/>
        <item x="5"/>
        <item x="0"/>
        <item x="4"/>
        <item x="1"/>
        <item x="7"/>
        <item x="6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2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26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x="21"/>
        <item sd="0" x="22"/>
        <item sd="0" x="23"/>
        <item sd="0" x="24"/>
        <item x="0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0"/>
    <field x="18"/>
    <field x="5"/>
    <field x="14"/>
    <field x="13"/>
    <field x="16"/>
    <field x="17"/>
  </rowFields>
  <rowItems count="25">
    <i>
      <x/>
      <x/>
      <x v="12"/>
      <x v="112"/>
      <x v="24"/>
      <x v="125"/>
      <x/>
    </i>
    <i r="1">
      <x v="6"/>
      <x v="15"/>
      <x v="110"/>
      <x v="22"/>
      <x v="81"/>
      <x/>
    </i>
    <i r="1">
      <x v="8"/>
      <x v="5"/>
      <x v="111"/>
      <x v="23"/>
      <x v="124"/>
      <x v="1"/>
    </i>
    <i>
      <x v="1"/>
      <x v="3"/>
      <x v="4"/>
      <x v="109"/>
      <x v="21"/>
      <x v="123"/>
      <x v="1"/>
    </i>
    <i>
      <x v="2"/>
      <x v="4"/>
      <x v="7"/>
      <x v="108"/>
      <x v="20"/>
      <x v="122"/>
      <x/>
    </i>
    <i>
      <x v="3"/>
      <x v="8"/>
      <x v="10"/>
      <x v="107"/>
      <x v="19"/>
      <x v="121"/>
      <x v="1"/>
    </i>
    <i>
      <x v="4"/>
      <x v="2"/>
      <x/>
      <x v="104"/>
      <x v="16"/>
      <x v="118"/>
      <x/>
    </i>
    <i>
      <x v="5"/>
      <x v="2"/>
      <x/>
      <x v="104"/>
      <x v="16"/>
      <x v="118"/>
      <x/>
    </i>
    <i r="1">
      <x v="4"/>
      <x v="3"/>
      <x v="73"/>
      <x v="5"/>
      <x v="120"/>
      <x v="1"/>
    </i>
    <i r="3">
      <x v="106"/>
      <x v="18"/>
      <x v="120"/>
      <x v="1"/>
    </i>
    <i r="1">
      <x v="7"/>
      <x v="14"/>
      <x v="105"/>
      <x v="17"/>
      <x v="119"/>
      <x v="1"/>
    </i>
    <i>
      <x v="6"/>
      <x v="4"/>
      <x v="3"/>
      <x v="103"/>
      <x v="15"/>
      <x v="117"/>
      <x v="1"/>
    </i>
    <i>
      <x v="7"/>
      <x v="3"/>
      <x v="2"/>
      <x v="101"/>
      <x v="13"/>
      <x v="115"/>
      <x/>
    </i>
    <i r="3">
      <x v="102"/>
      <x v="14"/>
      <x v="116"/>
      <x/>
    </i>
    <i>
      <x v="8"/>
      <x v="3"/>
      <x v="2"/>
      <x v="73"/>
      <x v="5"/>
      <x v="107"/>
      <x/>
    </i>
    <i>
      <x v="9"/>
      <x v="1"/>
      <x v="13"/>
      <x v="99"/>
      <x v="11"/>
      <x v="113"/>
      <x/>
    </i>
    <i r="3">
      <x v="100"/>
      <x v="12"/>
      <x v="114"/>
      <x/>
    </i>
    <i r="1">
      <x v="8"/>
      <x v="1"/>
      <x v="97"/>
      <x v="9"/>
      <x v="111"/>
      <x v="5"/>
    </i>
    <i r="3">
      <x v="98"/>
      <x v="10"/>
      <x v="112"/>
      <x v="1"/>
    </i>
    <i>
      <x v="10"/>
      <x v="3"/>
      <x v="2"/>
      <x v="14"/>
      <x v="6"/>
      <x v="58"/>
      <x/>
    </i>
    <i r="3">
      <x v="73"/>
      <x v="5"/>
      <x v="107"/>
      <x/>
    </i>
    <i r="3">
      <x v="95"/>
      <x v="7"/>
      <x v="108"/>
      <x/>
    </i>
    <i r="3">
      <x v="96"/>
      <x v="8"/>
      <x v="109"/>
      <x/>
    </i>
    <i r="1">
      <x v="5"/>
      <x v="8"/>
      <x v="14"/>
      <x v="6"/>
      <x v="110"/>
      <x v="1"/>
    </i>
    <i t="grand">
      <x/>
    </i>
  </rowItems>
  <colItems count="1">
    <i/>
  </colItems>
  <pageFields count="1">
    <pageField fld="20" hier="-1"/>
  </pageFields>
  <formats count="132">
    <format dxfId="242">
      <pivotArea field="17" type="button" dataOnly="0" labelOnly="1" outline="0" axis="axisRow" fieldPosition="6"/>
    </format>
    <format dxfId="241">
      <pivotArea dataOnly="0" labelOnly="1" grandRow="1" outline="0" fieldPosition="0"/>
    </format>
    <format dxfId="240">
      <pivotArea type="all" dataOnly="0" outline="0" fieldPosition="0"/>
    </format>
    <format dxfId="239">
      <pivotArea field="0" type="button" dataOnly="0" labelOnly="1" outline="0" axis="axisRow" fieldPosition="0"/>
    </format>
    <format dxfId="238">
      <pivotArea field="18" type="button" dataOnly="0" labelOnly="1" outline="0" axis="axisRow" fieldPosition="1"/>
    </format>
    <format dxfId="237">
      <pivotArea field="5" type="button" dataOnly="0" labelOnly="1" outline="0" axis="axisRow" fieldPosition="2"/>
    </format>
    <format dxfId="236">
      <pivotArea field="13" type="button" dataOnly="0" labelOnly="1" outline="0" axis="axisRow" fieldPosition="4"/>
    </format>
    <format dxfId="235">
      <pivotArea field="14" type="button" dataOnly="0" labelOnly="1" outline="0" axis="axisRow" fieldPosition="3"/>
    </format>
    <format dxfId="234">
      <pivotArea field="15" type="button" dataOnly="0" labelOnly="1" outline="0"/>
    </format>
    <format dxfId="233">
      <pivotArea field="16" type="button" dataOnly="0" labelOnly="1" outline="0" axis="axisRow" fieldPosition="5"/>
    </format>
    <format dxfId="232">
      <pivotArea field="17" type="button" dataOnly="0" labelOnly="1" outline="0" axis="axisRow" fieldPosition="6"/>
    </format>
    <format dxfId="231">
      <pivotArea dataOnly="0" labelOnly="1" outline="0" fieldPosition="0">
        <references count="1">
          <reference field="0" count="0"/>
        </references>
      </pivotArea>
    </format>
    <format dxfId="230">
      <pivotArea dataOnly="0" labelOnly="1" grandRow="1" outline="0" fieldPosition="0"/>
    </format>
    <format dxfId="229">
      <pivotArea dataOnly="0" labelOnly="1" outline="0" fieldPosition="0">
        <references count="2">
          <reference field="0" count="1" selected="0">
            <x v="19"/>
          </reference>
          <reference field="18" count="4">
            <x v="2"/>
            <x v="3"/>
            <x v="4"/>
            <x v="5"/>
          </reference>
        </references>
      </pivotArea>
    </format>
    <format dxfId="228">
      <pivotArea dataOnly="0" labelOnly="1" outline="0" fieldPosition="0">
        <references count="2">
          <reference field="0" count="1" selected="0">
            <x v="20"/>
          </reference>
          <reference field="18" count="2">
            <x v="2"/>
            <x v="3"/>
          </reference>
        </references>
      </pivotArea>
    </format>
    <format dxfId="227">
      <pivotArea dataOnly="0" labelOnly="1" outline="0" fieldPosition="0">
        <references count="2">
          <reference field="0" count="1" selected="0">
            <x v="21"/>
          </reference>
          <reference field="18" count="5">
            <x v="2"/>
            <x v="3"/>
            <x v="4"/>
            <x v="5"/>
            <x v="7"/>
          </reference>
        </references>
      </pivotArea>
    </format>
    <format dxfId="226">
      <pivotArea dataOnly="0" labelOnly="1" outline="0" fieldPosition="0">
        <references count="2">
          <reference field="0" count="1" selected="0">
            <x v="22"/>
          </reference>
          <reference field="18" count="2">
            <x v="2"/>
            <x v="5"/>
          </reference>
        </references>
      </pivotArea>
    </format>
    <format dxfId="225">
      <pivotArea dataOnly="0" labelOnly="1" outline="0" fieldPosition="0">
        <references count="2">
          <reference field="0" count="1" selected="0">
            <x v="23"/>
          </reference>
          <reference field="18" count="4">
            <x v="2"/>
            <x v="4"/>
            <x v="5"/>
            <x v="8"/>
          </reference>
        </references>
      </pivotArea>
    </format>
    <format dxfId="224">
      <pivotArea dataOnly="0" labelOnly="1" outline="0" fieldPosition="0">
        <references count="2">
          <reference field="0" count="1" selected="0">
            <x v="24"/>
          </reference>
          <reference field="18" count="3">
            <x v="3"/>
            <x v="5"/>
            <x v="8"/>
          </reference>
        </references>
      </pivotArea>
    </format>
    <format dxfId="223">
      <pivotArea dataOnly="0" labelOnly="1" outline="0" fieldPosition="0">
        <references count="2">
          <reference field="0" count="1" selected="0">
            <x v="25"/>
          </reference>
          <reference field="18" count="5">
            <x v="2"/>
            <x v="4"/>
            <x v="5"/>
            <x v="7"/>
            <x v="8"/>
          </reference>
        </references>
      </pivotArea>
    </format>
    <format dxfId="222">
      <pivotArea dataOnly="0" labelOnly="1" outline="0" fieldPosition="0">
        <references count="3">
          <reference field="0" count="1" selected="0">
            <x v="19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221">
      <pivotArea dataOnly="0" labelOnly="1" outline="0" fieldPosition="0">
        <references count="3">
          <reference field="0" count="1" selected="0">
            <x v="19"/>
          </reference>
          <reference field="5" count="1">
            <x v="2"/>
          </reference>
          <reference field="18" count="1" selected="0">
            <x v="3"/>
          </reference>
        </references>
      </pivotArea>
    </format>
    <format dxfId="220">
      <pivotArea dataOnly="0" labelOnly="1" outline="0" fieldPosition="0">
        <references count="3">
          <reference field="0" count="1" selected="0">
            <x v="19"/>
          </reference>
          <reference field="5" count="1">
            <x v="3"/>
          </reference>
          <reference field="18" count="1" selected="0">
            <x v="4"/>
          </reference>
        </references>
      </pivotArea>
    </format>
    <format dxfId="219">
      <pivotArea dataOnly="0" labelOnly="1" outline="0" fieldPosition="0">
        <references count="3">
          <reference field="0" count="1" selected="0">
            <x v="19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218">
      <pivotArea dataOnly="0" labelOnly="1" outline="0" fieldPosition="0">
        <references count="3">
          <reference field="0" count="1" selected="0">
            <x v="20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217">
      <pivotArea dataOnly="0" labelOnly="1" outline="0" fieldPosition="0">
        <references count="3">
          <reference field="0" count="1" selected="0">
            <x v="20"/>
          </reference>
          <reference field="5" count="1">
            <x v="2"/>
          </reference>
          <reference field="18" count="1" selected="0">
            <x v="3"/>
          </reference>
        </references>
      </pivotArea>
    </format>
    <format dxfId="216">
      <pivotArea dataOnly="0" labelOnly="1" outline="0" fieldPosition="0">
        <references count="3">
          <reference field="0" count="1" selected="0">
            <x v="21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215">
      <pivotArea dataOnly="0" labelOnly="1" outline="0" fieldPosition="0">
        <references count="3">
          <reference field="0" count="1" selected="0">
            <x v="21"/>
          </reference>
          <reference field="5" count="1">
            <x v="2"/>
          </reference>
          <reference field="18" count="1" selected="0">
            <x v="3"/>
          </reference>
        </references>
      </pivotArea>
    </format>
    <format dxfId="214">
      <pivotArea dataOnly="0" labelOnly="1" outline="0" fieldPosition="0">
        <references count="3">
          <reference field="0" count="1" selected="0">
            <x v="21"/>
          </reference>
          <reference field="5" count="1">
            <x v="7"/>
          </reference>
          <reference field="18" count="1" selected="0">
            <x v="4"/>
          </reference>
        </references>
      </pivotArea>
    </format>
    <format dxfId="213">
      <pivotArea dataOnly="0" labelOnly="1" outline="0" fieldPosition="0">
        <references count="3">
          <reference field="0" count="1" selected="0">
            <x v="21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212">
      <pivotArea dataOnly="0" labelOnly="1" outline="0" fieldPosition="0">
        <references count="3">
          <reference field="0" count="1" selected="0">
            <x v="21"/>
          </reference>
          <reference field="5" count="1">
            <x v="6"/>
          </reference>
          <reference field="18" count="1" selected="0">
            <x v="7"/>
          </reference>
        </references>
      </pivotArea>
    </format>
    <format dxfId="211">
      <pivotArea dataOnly="0" labelOnly="1" outline="0" fieldPosition="0">
        <references count="3">
          <reference field="0" count="1" selected="0">
            <x v="22"/>
          </reference>
          <reference field="5" count="2">
            <x v="0"/>
            <x v="4"/>
          </reference>
          <reference field="18" count="1" selected="0">
            <x v="2"/>
          </reference>
        </references>
      </pivotArea>
    </format>
    <format dxfId="210">
      <pivotArea dataOnly="0" labelOnly="1" outline="0" fieldPosition="0">
        <references count="3">
          <reference field="0" count="1" selected="0">
            <x v="22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209">
      <pivotArea dataOnly="0" labelOnly="1" outline="0" fieldPosition="0">
        <references count="3">
          <reference field="0" count="1" selected="0">
            <x v="23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208">
      <pivotArea dataOnly="0" labelOnly="1" outline="0" fieldPosition="0">
        <references count="3">
          <reference field="0" count="1" selected="0">
            <x v="23"/>
          </reference>
          <reference field="5" count="1">
            <x v="3"/>
          </reference>
          <reference field="18" count="1" selected="0">
            <x v="4"/>
          </reference>
        </references>
      </pivotArea>
    </format>
    <format dxfId="207">
      <pivotArea dataOnly="0" labelOnly="1" outline="0" fieldPosition="0">
        <references count="3">
          <reference field="0" count="1" selected="0">
            <x v="23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206">
      <pivotArea dataOnly="0" labelOnly="1" outline="0" fieldPosition="0">
        <references count="3">
          <reference field="0" count="1" selected="0">
            <x v="23"/>
          </reference>
          <reference field="5" count="1">
            <x v="1"/>
          </reference>
          <reference field="18" count="1" selected="0">
            <x v="8"/>
          </reference>
        </references>
      </pivotArea>
    </format>
    <format dxfId="205">
      <pivotArea dataOnly="0" labelOnly="1" outline="0" fieldPosition="0">
        <references count="3">
          <reference field="0" count="1" selected="0">
            <x v="24"/>
          </reference>
          <reference field="5" count="1">
            <x v="2"/>
          </reference>
          <reference field="18" count="1" selected="0">
            <x v="3"/>
          </reference>
        </references>
      </pivotArea>
    </format>
    <format dxfId="204">
      <pivotArea dataOnly="0" labelOnly="1" outline="0" fieldPosition="0">
        <references count="3">
          <reference field="0" count="1" selected="0">
            <x v="24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203">
      <pivotArea dataOnly="0" labelOnly="1" outline="0" fieldPosition="0">
        <references count="3">
          <reference field="0" count="1" selected="0">
            <x v="24"/>
          </reference>
          <reference field="5" count="1">
            <x v="5"/>
          </reference>
          <reference field="18" count="1" selected="0">
            <x v="8"/>
          </reference>
        </references>
      </pivotArea>
    </format>
    <format dxfId="202">
      <pivotArea dataOnly="0" labelOnly="1" outline="0" fieldPosition="0">
        <references count="3">
          <reference field="0" count="1" selected="0">
            <x v="25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201">
      <pivotArea dataOnly="0" labelOnly="1" outline="0" fieldPosition="0">
        <references count="3">
          <reference field="0" count="1" selected="0">
            <x v="25"/>
          </reference>
          <reference field="5" count="1">
            <x v="7"/>
          </reference>
          <reference field="18" count="1" selected="0">
            <x v="4"/>
          </reference>
        </references>
      </pivotArea>
    </format>
    <format dxfId="200">
      <pivotArea dataOnly="0" labelOnly="1" outline="0" fieldPosition="0">
        <references count="3">
          <reference field="0" count="1" selected="0">
            <x v="25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199">
      <pivotArea dataOnly="0" labelOnly="1" outline="0" fieldPosition="0">
        <references count="3">
          <reference field="0" count="1" selected="0">
            <x v="25"/>
          </reference>
          <reference field="5" count="1">
            <x v="6"/>
          </reference>
          <reference field="18" count="1" selected="0">
            <x v="7"/>
          </reference>
        </references>
      </pivotArea>
    </format>
    <format dxfId="198">
      <pivotArea dataOnly="0" labelOnly="1" outline="0" fieldPosition="0">
        <references count="3">
          <reference field="0" count="1" selected="0">
            <x v="25"/>
          </reference>
          <reference field="5" count="1">
            <x v="5"/>
          </reference>
          <reference field="18" count="1" selected="0">
            <x v="8"/>
          </reference>
        </references>
      </pivotArea>
    </format>
    <format dxfId="197">
      <pivotArea type="all" dataOnly="0" outline="0" fieldPosition="0"/>
    </format>
    <format dxfId="196">
      <pivotArea field="0" type="button" dataOnly="0" labelOnly="1" outline="0" axis="axisRow" fieldPosition="0"/>
    </format>
    <format dxfId="195">
      <pivotArea field="18" type="button" dataOnly="0" labelOnly="1" outline="0" axis="axisRow" fieldPosition="1"/>
    </format>
    <format dxfId="194">
      <pivotArea field="5" type="button" dataOnly="0" labelOnly="1" outline="0" axis="axisRow" fieldPosition="2"/>
    </format>
    <format dxfId="193">
      <pivotArea field="13" type="button" dataOnly="0" labelOnly="1" outline="0" axis="axisRow" fieldPosition="4"/>
    </format>
    <format dxfId="192">
      <pivotArea field="14" type="button" dataOnly="0" labelOnly="1" outline="0" axis="axisRow" fieldPosition="3"/>
    </format>
    <format dxfId="191">
      <pivotArea field="15" type="button" dataOnly="0" labelOnly="1" outline="0"/>
    </format>
    <format dxfId="190">
      <pivotArea field="16" type="button" dataOnly="0" labelOnly="1" outline="0" axis="axisRow" fieldPosition="5"/>
    </format>
    <format dxfId="189">
      <pivotArea field="17" type="button" dataOnly="0" labelOnly="1" outline="0" axis="axisRow" fieldPosition="6"/>
    </format>
    <format dxfId="188">
      <pivotArea dataOnly="0" labelOnly="1" outline="0" fieldPosition="0">
        <references count="1">
          <reference field="0" count="0"/>
        </references>
      </pivotArea>
    </format>
    <format dxfId="187">
      <pivotArea dataOnly="0" labelOnly="1" grandRow="1" outline="0" fieldPosition="0"/>
    </format>
    <format dxfId="186">
      <pivotArea dataOnly="0" labelOnly="1" outline="0" fieldPosition="0">
        <references count="2">
          <reference field="0" count="1" selected="0">
            <x v="19"/>
          </reference>
          <reference field="18" count="4">
            <x v="2"/>
            <x v="3"/>
            <x v="4"/>
            <x v="5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20"/>
          </reference>
          <reference field="18" count="2">
            <x v="2"/>
            <x v="3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21"/>
          </reference>
          <reference field="18" count="5">
            <x v="2"/>
            <x v="3"/>
            <x v="4"/>
            <x v="5"/>
            <x v="7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22"/>
          </reference>
          <reference field="18" count="2">
            <x v="2"/>
            <x v="5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23"/>
          </reference>
          <reference field="18" count="4">
            <x v="2"/>
            <x v="4"/>
            <x v="5"/>
            <x v="8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24"/>
          </reference>
          <reference field="18" count="3">
            <x v="3"/>
            <x v="5"/>
            <x v="8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25"/>
          </reference>
          <reference field="18" count="5">
            <x v="2"/>
            <x v="4"/>
            <x v="5"/>
            <x v="7"/>
            <x v="8"/>
          </reference>
        </references>
      </pivotArea>
    </format>
    <format dxfId="179">
      <pivotArea dataOnly="0" labelOnly="1" outline="0" fieldPosition="0">
        <references count="3">
          <reference field="0" count="1" selected="0">
            <x v="19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178">
      <pivotArea dataOnly="0" labelOnly="1" outline="0" fieldPosition="0">
        <references count="3">
          <reference field="0" count="1" selected="0">
            <x v="19"/>
          </reference>
          <reference field="5" count="1">
            <x v="2"/>
          </reference>
          <reference field="18" count="1" selected="0">
            <x v="3"/>
          </reference>
        </references>
      </pivotArea>
    </format>
    <format dxfId="177">
      <pivotArea dataOnly="0" labelOnly="1" outline="0" fieldPosition="0">
        <references count="3">
          <reference field="0" count="1" selected="0">
            <x v="19"/>
          </reference>
          <reference field="5" count="1">
            <x v="3"/>
          </reference>
          <reference field="18" count="1" selected="0">
            <x v="4"/>
          </reference>
        </references>
      </pivotArea>
    </format>
    <format dxfId="176">
      <pivotArea dataOnly="0" labelOnly="1" outline="0" fieldPosition="0">
        <references count="3">
          <reference field="0" count="1" selected="0">
            <x v="19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175">
      <pivotArea dataOnly="0" labelOnly="1" outline="0" fieldPosition="0">
        <references count="3">
          <reference field="0" count="1" selected="0">
            <x v="20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174">
      <pivotArea dataOnly="0" labelOnly="1" outline="0" fieldPosition="0">
        <references count="3">
          <reference field="0" count="1" selected="0">
            <x v="20"/>
          </reference>
          <reference field="5" count="1">
            <x v="2"/>
          </reference>
          <reference field="18" count="1" selected="0">
            <x v="3"/>
          </reference>
        </references>
      </pivotArea>
    </format>
    <format dxfId="173">
      <pivotArea dataOnly="0" labelOnly="1" outline="0" fieldPosition="0">
        <references count="3">
          <reference field="0" count="1" selected="0">
            <x v="21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21"/>
          </reference>
          <reference field="5" count="1">
            <x v="2"/>
          </reference>
          <reference field="18" count="1" selected="0">
            <x v="3"/>
          </reference>
        </references>
      </pivotArea>
    </format>
    <format dxfId="171">
      <pivotArea dataOnly="0" labelOnly="1" outline="0" fieldPosition="0">
        <references count="3">
          <reference field="0" count="1" selected="0">
            <x v="21"/>
          </reference>
          <reference field="5" count="1">
            <x v="7"/>
          </reference>
          <reference field="18" count="1" selected="0">
            <x v="4"/>
          </reference>
        </references>
      </pivotArea>
    </format>
    <format dxfId="170">
      <pivotArea dataOnly="0" labelOnly="1" outline="0" fieldPosition="0">
        <references count="3">
          <reference field="0" count="1" selected="0">
            <x v="21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169">
      <pivotArea dataOnly="0" labelOnly="1" outline="0" fieldPosition="0">
        <references count="3">
          <reference field="0" count="1" selected="0">
            <x v="21"/>
          </reference>
          <reference field="5" count="1">
            <x v="6"/>
          </reference>
          <reference field="18" count="1" selected="0">
            <x v="7"/>
          </reference>
        </references>
      </pivotArea>
    </format>
    <format dxfId="168">
      <pivotArea dataOnly="0" labelOnly="1" outline="0" fieldPosition="0">
        <references count="3">
          <reference field="0" count="1" selected="0">
            <x v="22"/>
          </reference>
          <reference field="5" count="2">
            <x v="0"/>
            <x v="4"/>
          </reference>
          <reference field="18" count="1" selected="0">
            <x v="2"/>
          </reference>
        </references>
      </pivotArea>
    </format>
    <format dxfId="167">
      <pivotArea dataOnly="0" labelOnly="1" outline="0" fieldPosition="0">
        <references count="3">
          <reference field="0" count="1" selected="0">
            <x v="22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166">
      <pivotArea dataOnly="0" labelOnly="1" outline="0" fieldPosition="0">
        <references count="3">
          <reference field="0" count="1" selected="0">
            <x v="23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165">
      <pivotArea dataOnly="0" labelOnly="1" outline="0" fieldPosition="0">
        <references count="3">
          <reference field="0" count="1" selected="0">
            <x v="23"/>
          </reference>
          <reference field="5" count="1">
            <x v="3"/>
          </reference>
          <reference field="18" count="1" selected="0">
            <x v="4"/>
          </reference>
        </references>
      </pivotArea>
    </format>
    <format dxfId="164">
      <pivotArea dataOnly="0" labelOnly="1" outline="0" fieldPosition="0">
        <references count="3">
          <reference field="0" count="1" selected="0">
            <x v="23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163">
      <pivotArea dataOnly="0" labelOnly="1" outline="0" fieldPosition="0">
        <references count="3">
          <reference field="0" count="1" selected="0">
            <x v="23"/>
          </reference>
          <reference field="5" count="1">
            <x v="1"/>
          </reference>
          <reference field="18" count="1" selected="0">
            <x v="8"/>
          </reference>
        </references>
      </pivotArea>
    </format>
    <format dxfId="162">
      <pivotArea dataOnly="0" labelOnly="1" outline="0" fieldPosition="0">
        <references count="3">
          <reference field="0" count="1" selected="0">
            <x v="24"/>
          </reference>
          <reference field="5" count="1">
            <x v="2"/>
          </reference>
          <reference field="18" count="1" selected="0">
            <x v="3"/>
          </reference>
        </references>
      </pivotArea>
    </format>
    <format dxfId="161">
      <pivotArea dataOnly="0" labelOnly="1" outline="0" fieldPosition="0">
        <references count="3">
          <reference field="0" count="1" selected="0">
            <x v="24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160">
      <pivotArea dataOnly="0" labelOnly="1" outline="0" fieldPosition="0">
        <references count="3">
          <reference field="0" count="1" selected="0">
            <x v="24"/>
          </reference>
          <reference field="5" count="1">
            <x v="5"/>
          </reference>
          <reference field="18" count="1" selected="0">
            <x v="8"/>
          </reference>
        </references>
      </pivotArea>
    </format>
    <format dxfId="159">
      <pivotArea dataOnly="0" labelOnly="1" outline="0" fieldPosition="0">
        <references count="3">
          <reference field="0" count="1" selected="0">
            <x v="25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25"/>
          </reference>
          <reference field="5" count="1">
            <x v="7"/>
          </reference>
          <reference field="18" count="1" selected="0">
            <x v="4"/>
          </reference>
        </references>
      </pivotArea>
    </format>
    <format dxfId="157">
      <pivotArea dataOnly="0" labelOnly="1" outline="0" fieldPosition="0">
        <references count="3">
          <reference field="0" count="1" selected="0">
            <x v="25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25"/>
          </reference>
          <reference field="5" count="1">
            <x v="6"/>
          </reference>
          <reference field="18" count="1" selected="0">
            <x v="7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25"/>
          </reference>
          <reference field="5" count="1">
            <x v="5"/>
          </reference>
          <reference field="18" count="1" selected="0">
            <x v="8"/>
          </reference>
        </references>
      </pivotArea>
    </format>
    <format dxfId="154">
      <pivotArea type="all" dataOnly="0" outline="0" fieldPosition="0"/>
    </format>
    <format dxfId="153">
      <pivotArea field="0" type="button" dataOnly="0" labelOnly="1" outline="0" axis="axisRow" fieldPosition="0"/>
    </format>
    <format dxfId="152">
      <pivotArea field="18" type="button" dataOnly="0" labelOnly="1" outline="0" axis="axisRow" fieldPosition="1"/>
    </format>
    <format dxfId="151">
      <pivotArea field="5" type="button" dataOnly="0" labelOnly="1" outline="0" axis="axisRow" fieldPosition="2"/>
    </format>
    <format dxfId="150">
      <pivotArea field="13" type="button" dataOnly="0" labelOnly="1" outline="0" axis="axisRow" fieldPosition="4"/>
    </format>
    <format dxfId="149">
      <pivotArea field="14" type="button" dataOnly="0" labelOnly="1" outline="0" axis="axisRow" fieldPosition="3"/>
    </format>
    <format dxfId="148">
      <pivotArea field="15" type="button" dataOnly="0" labelOnly="1" outline="0"/>
    </format>
    <format dxfId="147">
      <pivotArea field="16" type="button" dataOnly="0" labelOnly="1" outline="0" axis="axisRow" fieldPosition="5"/>
    </format>
    <format dxfId="146">
      <pivotArea field="17" type="button" dataOnly="0" labelOnly="1" outline="0" axis="axisRow" fieldPosition="6"/>
    </format>
    <format dxfId="145">
      <pivotArea dataOnly="0" labelOnly="1" outline="0" fieldPosition="0">
        <references count="1">
          <reference field="0" count="0"/>
        </references>
      </pivotArea>
    </format>
    <format dxfId="144">
      <pivotArea dataOnly="0" labelOnly="1" grandRow="1" outline="0" fieldPosition="0"/>
    </format>
    <format dxfId="143">
      <pivotArea dataOnly="0" labelOnly="1" outline="0" fieldPosition="0">
        <references count="2">
          <reference field="0" count="1" selected="0">
            <x v="19"/>
          </reference>
          <reference field="18" count="4">
            <x v="2"/>
            <x v="3"/>
            <x v="4"/>
            <x v="5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20"/>
          </reference>
          <reference field="18" count="2">
            <x v="2"/>
            <x v="3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21"/>
          </reference>
          <reference field="18" count="5">
            <x v="2"/>
            <x v="3"/>
            <x v="4"/>
            <x v="5"/>
            <x v="7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22"/>
          </reference>
          <reference field="18" count="2">
            <x v="2"/>
            <x v="5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23"/>
          </reference>
          <reference field="18" count="4">
            <x v="2"/>
            <x v="4"/>
            <x v="5"/>
            <x v="8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24"/>
          </reference>
          <reference field="18" count="3">
            <x v="3"/>
            <x v="5"/>
            <x v="8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25"/>
          </reference>
          <reference field="18" count="5">
            <x v="2"/>
            <x v="4"/>
            <x v="5"/>
            <x v="7"/>
            <x v="8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19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135">
      <pivotArea dataOnly="0" labelOnly="1" outline="0" fieldPosition="0">
        <references count="3">
          <reference field="0" count="1" selected="0">
            <x v="19"/>
          </reference>
          <reference field="5" count="1">
            <x v="2"/>
          </reference>
          <reference field="18" count="1" selected="0">
            <x v="3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19"/>
          </reference>
          <reference field="5" count="1">
            <x v="3"/>
          </reference>
          <reference field="18" count="1" selected="0">
            <x v="4"/>
          </reference>
        </references>
      </pivotArea>
    </format>
    <format dxfId="133">
      <pivotArea dataOnly="0" labelOnly="1" outline="0" fieldPosition="0">
        <references count="3">
          <reference field="0" count="1" selected="0">
            <x v="19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132">
      <pivotArea dataOnly="0" labelOnly="1" outline="0" fieldPosition="0">
        <references count="3">
          <reference field="0" count="1" selected="0">
            <x v="20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131">
      <pivotArea dataOnly="0" labelOnly="1" outline="0" fieldPosition="0">
        <references count="3">
          <reference field="0" count="1" selected="0">
            <x v="20"/>
          </reference>
          <reference field="5" count="1">
            <x v="2"/>
          </reference>
          <reference field="18" count="1" selected="0">
            <x v="3"/>
          </reference>
        </references>
      </pivotArea>
    </format>
    <format dxfId="130">
      <pivotArea dataOnly="0" labelOnly="1" outline="0" fieldPosition="0">
        <references count="3">
          <reference field="0" count="1" selected="0">
            <x v="21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129">
      <pivotArea dataOnly="0" labelOnly="1" outline="0" fieldPosition="0">
        <references count="3">
          <reference field="0" count="1" selected="0">
            <x v="21"/>
          </reference>
          <reference field="5" count="1">
            <x v="2"/>
          </reference>
          <reference field="18" count="1" selected="0">
            <x v="3"/>
          </reference>
        </references>
      </pivotArea>
    </format>
    <format dxfId="128">
      <pivotArea dataOnly="0" labelOnly="1" outline="0" fieldPosition="0">
        <references count="3">
          <reference field="0" count="1" selected="0">
            <x v="21"/>
          </reference>
          <reference field="5" count="1">
            <x v="7"/>
          </reference>
          <reference field="18" count="1" selected="0">
            <x v="4"/>
          </reference>
        </references>
      </pivotArea>
    </format>
    <format dxfId="127">
      <pivotArea dataOnly="0" labelOnly="1" outline="0" fieldPosition="0">
        <references count="3">
          <reference field="0" count="1" selected="0">
            <x v="21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126">
      <pivotArea dataOnly="0" labelOnly="1" outline="0" fieldPosition="0">
        <references count="3">
          <reference field="0" count="1" selected="0">
            <x v="21"/>
          </reference>
          <reference field="5" count="1">
            <x v="6"/>
          </reference>
          <reference field="18" count="1" selected="0">
            <x v="7"/>
          </reference>
        </references>
      </pivotArea>
    </format>
    <format dxfId="125">
      <pivotArea dataOnly="0" labelOnly="1" outline="0" fieldPosition="0">
        <references count="3">
          <reference field="0" count="1" selected="0">
            <x v="22"/>
          </reference>
          <reference field="5" count="2">
            <x v="0"/>
            <x v="4"/>
          </reference>
          <reference field="18" count="1" selected="0">
            <x v="2"/>
          </reference>
        </references>
      </pivotArea>
    </format>
    <format dxfId="124">
      <pivotArea dataOnly="0" labelOnly="1" outline="0" fieldPosition="0">
        <references count="3">
          <reference field="0" count="1" selected="0">
            <x v="22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123">
      <pivotArea dataOnly="0" labelOnly="1" outline="0" fieldPosition="0">
        <references count="3">
          <reference field="0" count="1" selected="0">
            <x v="23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122">
      <pivotArea dataOnly="0" labelOnly="1" outline="0" fieldPosition="0">
        <references count="3">
          <reference field="0" count="1" selected="0">
            <x v="23"/>
          </reference>
          <reference field="5" count="1">
            <x v="3"/>
          </reference>
          <reference field="18" count="1" selected="0">
            <x v="4"/>
          </reference>
        </references>
      </pivotArea>
    </format>
    <format dxfId="121">
      <pivotArea dataOnly="0" labelOnly="1" outline="0" fieldPosition="0">
        <references count="3">
          <reference field="0" count="1" selected="0">
            <x v="23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120">
      <pivotArea dataOnly="0" labelOnly="1" outline="0" fieldPosition="0">
        <references count="3">
          <reference field="0" count="1" selected="0">
            <x v="23"/>
          </reference>
          <reference field="5" count="1">
            <x v="1"/>
          </reference>
          <reference field="18" count="1" selected="0">
            <x v="8"/>
          </reference>
        </references>
      </pivotArea>
    </format>
    <format dxfId="119">
      <pivotArea dataOnly="0" labelOnly="1" outline="0" fieldPosition="0">
        <references count="3">
          <reference field="0" count="1" selected="0">
            <x v="24"/>
          </reference>
          <reference field="5" count="1">
            <x v="2"/>
          </reference>
          <reference field="18" count="1" selected="0">
            <x v="3"/>
          </reference>
        </references>
      </pivotArea>
    </format>
    <format dxfId="118">
      <pivotArea dataOnly="0" labelOnly="1" outline="0" fieldPosition="0">
        <references count="3">
          <reference field="0" count="1" selected="0">
            <x v="24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117">
      <pivotArea dataOnly="0" labelOnly="1" outline="0" fieldPosition="0">
        <references count="3">
          <reference field="0" count="1" selected="0">
            <x v="24"/>
          </reference>
          <reference field="5" count="1">
            <x v="5"/>
          </reference>
          <reference field="18" count="1" selected="0">
            <x v="8"/>
          </reference>
        </references>
      </pivotArea>
    </format>
    <format dxfId="116">
      <pivotArea dataOnly="0" labelOnly="1" outline="0" fieldPosition="0">
        <references count="3">
          <reference field="0" count="1" selected="0">
            <x v="25"/>
          </reference>
          <reference field="5" count="1">
            <x v="0"/>
          </reference>
          <reference field="18" count="1" selected="0">
            <x v="2"/>
          </reference>
        </references>
      </pivotArea>
    </format>
    <format dxfId="115">
      <pivotArea dataOnly="0" labelOnly="1" outline="0" fieldPosition="0">
        <references count="3">
          <reference field="0" count="1" selected="0">
            <x v="25"/>
          </reference>
          <reference field="5" count="1">
            <x v="7"/>
          </reference>
          <reference field="18" count="1" selected="0">
            <x v="4"/>
          </reference>
        </references>
      </pivotArea>
    </format>
    <format dxfId="114">
      <pivotArea dataOnly="0" labelOnly="1" outline="0" fieldPosition="0">
        <references count="3">
          <reference field="0" count="1" selected="0">
            <x v="25"/>
          </reference>
          <reference field="5" count="1">
            <x v="8"/>
          </reference>
          <reference field="18" count="1" selected="0">
            <x v="5"/>
          </reference>
        </references>
      </pivotArea>
    </format>
    <format dxfId="113">
      <pivotArea dataOnly="0" labelOnly="1" outline="0" fieldPosition="0">
        <references count="3">
          <reference field="0" count="1" selected="0">
            <x v="25"/>
          </reference>
          <reference field="5" count="1">
            <x v="6"/>
          </reference>
          <reference field="18" count="1" selected="0">
            <x v="7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25"/>
          </reference>
          <reference field="5" count="1">
            <x v="5"/>
          </reference>
          <reference field="18" count="1" selected="0">
            <x v="8"/>
          </reference>
        </references>
      </pivotArea>
    </format>
    <format dxfId="111">
      <pivotArea field="13" type="button" dataOnly="0" labelOnly="1" outline="0" axis="axisRow" fieldPosition="4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452114-38E6-4D47-A56D-EF05B3D02E80}" name="Table2" displayName="Table2" ref="A2:N21" totalsRowShown="0" headerRowDxfId="295" dataDxfId="293" headerRowBorderDxfId="294" tableBorderDxfId="292" totalsRowBorderDxfId="291">
  <autoFilter ref="A2:N21" xr:uid="{D8452114-38E6-4D47-A56D-EF05B3D02E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sortState xmlns:xlrd2="http://schemas.microsoft.com/office/spreadsheetml/2017/richdata2" ref="A3:N21">
    <sortCondition descending="1" ref="A2:A21"/>
  </sortState>
  <tableColumns count="14">
    <tableColumn id="1" xr3:uid="{DB8246A4-F6A5-41D8-B4C3-F74B90A6234A}" name="سوپروایزر" dataDxfId="290">
      <calculatedColumnFormula>_xlfn.XLOOKUP(Table2[[#This Row],[کد فروشگاه]],'[1]شعب فعال'!$C:$C,'[1]شعب فعال'!$F:$F,"*",0)</calculatedColumnFormula>
    </tableColumn>
    <tableColumn id="2" xr3:uid="{E06CC496-7BC8-41D7-965A-D47B00C7F469}" name="کد فروشگاه" dataDxfId="289"/>
    <tableColumn id="3" xr3:uid="{30460DF5-A99E-4C65-A463-63EC68C29886}" name="نام فروشگاه" dataDxfId="288"/>
    <tableColumn id="8" xr3:uid="{2225D928-96DE-4AB0-BD13-BC36BF8D8EB1}" name="درصد تاخیر  21-27" dataDxfId="287"/>
    <tableColumn id="10" xr3:uid="{5A15FFE3-97C4-4AFF-A252-01990A4DB69F}" name="درصد ناموچودی   21-27" dataDxfId="286"/>
    <tableColumn id="11" xr3:uid="{C0B572BF-3846-422B-BB9D-30EDDD5F93FF}" name="استرداد 21-27" dataDxfId="285" dataCellStyle="Percent"/>
    <tableColumn id="12" xr3:uid="{A34DF383-5E21-4A39-88A9-30E1C186F605}" name="کد فروشگاه  " dataDxfId="284"/>
    <tableColumn id="13" xr3:uid="{9CC00382-FB54-4F3A-8179-8B00A7353FCB}" name="نام فروشگاه   " dataDxfId="283"/>
    <tableColumn id="18" xr3:uid="{63C8E970-919B-432B-A5B1-FD667CBE9B06}" name="تاخیر27-3" dataDxfId="282"/>
    <tableColumn id="20" xr3:uid="{6BB521FF-DE1E-4473-A807-5D60AE695EC6}" name="ناموجودی 27-3" dataDxfId="281"/>
    <tableColumn id="21" xr3:uid="{EFBEA93D-0A58-417B-BE77-C23CCFEB289E}" name="استرداد 27-3" dataDxfId="280" dataCellStyle="Percent"/>
    <tableColumn id="22" xr3:uid="{6909D8F9-12D2-40F0-BD2F-BD99BBB9FBD3}" name="تاخیر " dataDxfId="279">
      <calculatedColumnFormula>IF(I3 &gt; D3, "افزایشی", IF(D3 &lt; I3, "کاهشی", "بدون تغییر"))</calculatedColumnFormula>
    </tableColumn>
    <tableColumn id="23" xr3:uid="{0A93F429-52BC-4906-AED5-11659EB4621D}" name="ناموجودی " dataDxfId="278">
      <calculatedColumnFormula>IF(J3 &gt; E3, "افزایشی", IF(E3 &lt; J3, "کاهشی", "بدون تغییر"))</calculatedColumnFormula>
    </tableColumn>
    <tableColumn id="4" xr3:uid="{C96EC1E2-BDE8-4FF3-9294-B39EB8EF4161}" name="استرداد" dataDxfId="277">
      <calculatedColumnFormula>IF(K3 &gt; F3, "افزایشی", IF(F3 &lt; K3, "کاهشی", "بدون تغییر"))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AA9890-F9DE-46A1-996A-C234B9D863EC}" name="Table3" displayName="Table3" ref="A1:AG4" totalsRowShown="0" headerRowDxfId="276" tableBorderDxfId="275">
  <autoFilter ref="A1:AG4" xr:uid="{B4AA9890-F9DE-46A1-996A-C234B9D863EC}"/>
  <sortState xmlns:xlrd2="http://schemas.microsoft.com/office/spreadsheetml/2017/richdata2" ref="A2:AG4">
    <sortCondition descending="1" ref="M1:M4"/>
  </sortState>
  <tableColumns count="33">
    <tableColumn id="2" xr3:uid="{7BD087DE-1361-4912-A3F3-6877DAC2A36A}" name="OrderPartId" dataDxfId="274"/>
    <tableColumn id="3" xr3:uid="{BA164416-D82E-46F9-891F-CEBDAA08B625}" name="OrderId" dataDxfId="273"/>
    <tableColumn id="4" xr3:uid="{B5F3CB36-5605-405D-9566-460ED724CC61}" name="Title" dataDxfId="272"/>
    <tableColumn id="5" xr3:uid="{BD8B38B9-2ACC-4E4F-A7C7-D7C9DFA43A8C}" name="Refund Quantity" dataDxfId="271"/>
    <tableColumn id="6" xr3:uid="{DC7C0008-2346-468C-97CA-98864C8A9A11}" name="Qauntity" dataDxfId="270"/>
    <tableColumn id="7" xr3:uid="{39EBF397-3B5D-435A-B8AD-28F5B40A10F9}" name="Vendor Price" dataDxfId="269"/>
    <tableColumn id="8" xr3:uid="{D11EDF40-2459-441A-A6AB-E33C7F9E6CEA}" name="Refund Price" dataDxfId="268"/>
    <tableColumn id="9" xr3:uid="{3790DBD8-D561-48A2-8116-0C2B1DA5C444}" name="Row Price" dataDxfId="267"/>
    <tableColumn id="10" xr3:uid="{17DEAFF4-6307-4893-9211-3F49699E5034}" name="Refund Row Price (Customer)" dataDxfId="266"/>
    <tableColumn id="11" xr3:uid="{66A0627A-6790-47F3-A9FD-8E9DF9F076E8}" name="Refund Row Price (Vendor)" dataDxfId="265"/>
    <tableColumn id="12" xr3:uid="{59FB1CFB-2420-4909-92CB-B78B7BCF9F05}" name="Vendor Row Price" dataDxfId="264"/>
    <tableColumn id="13" xr3:uid="{412B508C-65A3-4234-95C7-EA91C7E73B57}" name="Shipping Date" dataDxfId="263"/>
    <tableColumn id="14" xr3:uid="{A7296719-F208-4983-974C-CF7638436B74}" name="Refund Date" dataDxfId="262"/>
    <tableColumn id="15" xr3:uid="{F99F09B3-9C48-4BD7-A535-CFAEF22E2BB3}" name="Item Name" dataDxfId="261"/>
    <tableColumn id="16" xr3:uid="{1FFA6563-632B-4FB8-87F2-BD1C12FDF0A2}" name="UserKey" dataDxfId="260"/>
    <tableColumn id="17" xr3:uid="{384B757A-357C-416A-8042-3B5559D23ADA}" name="Category2" dataDxfId="259"/>
    <tableColumn id="18" xr3:uid="{B882FC7B-B3C5-4280-BE2C-574E5F0FBB08}" name="Legacy StoreId" dataDxfId="258"/>
    <tableColumn id="19" xr3:uid="{901864BA-D827-48D0-B61F-AA547369B123}" name="Code" dataDxfId="257"/>
    <tableColumn id="20" xr3:uid="{8CA7E2C9-F498-4A28-A908-B971B23208FE}" name="منطقه" dataDxfId="256"/>
    <tableColumn id="21" xr3:uid="{73A755BA-7108-47E5-A4B4-708E37C09C84}" name="Store Name" dataDxfId="255"/>
    <tableColumn id="22" xr3:uid="{1B7A5147-C14D-4CF0-A63D-DA5F2296ABAE}" name=" VendorLegacyId" dataDxfId="254"/>
    <tableColumn id="23" xr3:uid="{2C110210-DAE1-464F-BEA8-9568E925D0E8}" name="Vendor" dataDxfId="253"/>
    <tableColumn id="24" xr3:uid="{5DD3E2F4-711E-4EA8-A1F9-B67B51E88662}" name="Barcode" dataDxfId="252"/>
    <tableColumn id="25" xr3:uid="{B8072C13-D4A4-46F0-B911-4C89BA2EC048}" name="City" dataDxfId="251"/>
    <tableColumn id="26" xr3:uid="{1643DB5A-3B01-414E-B0DF-CD7D225C72A1}" name="Province" dataDxfId="250"/>
    <tableColumn id="27" xr3:uid="{3BE8877A-42F9-41E0-B620-F08605738130}" name="Tenant" dataDxfId="249"/>
    <tableColumn id="28" xr3:uid="{C2BD82A0-FB4D-4932-90B8-3E6AB6D46DD9}" name="DeliveryProviderName" dataDxfId="248"/>
    <tableColumn id="29" xr3:uid="{4DD6BA33-05AE-40AD-B5DA-98B8B9021268}" name="CourierName" dataDxfId="247"/>
    <tableColumn id="30" xr3:uid="{CDF35991-6A3D-4B53-BBFE-281172A91F8E}" name="CourierMobile" dataDxfId="246"/>
    <tableColumn id="31" xr3:uid="{6E774667-23BB-4455-95C7-A31319F00146}" name="RefundLiability" dataDxfId="245"/>
    <tableColumn id="32" xr3:uid="{A8515415-616B-432A-AB19-DC7CE8826274}" name="UserAttachments" dataDxfId="244"/>
    <tableColumn id="33" xr3:uid="{335C3C05-EBF0-43C0-BFCA-A7F9A674354C}" name="Refund By" dataDxfId="243"/>
    <tableColumn id="34" xr3:uid="{CFDABE8A-75CE-43AA-A7B8-DAAB64EF6BC4}" name="سوپروایزر">
      <calculatedColumnFormula>VLOOKUP(R2,'[2]شعب فعال'!$A:$A,4,0)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H37">
  <autoFilter ref="A1:BH37" xr:uid="{00000000-0009-0000-0100-000001000000}"/>
  <sortState xmlns:xlrd2="http://schemas.microsoft.com/office/spreadsheetml/2017/richdata2" ref="A2:BH2">
    <sortCondition descending="1" ref="BG1:BG2"/>
  </sortState>
  <tableColumns count="60">
    <tableColumn id="1" xr3:uid="{00000000-0010-0000-0000-000001000000}" name="دیستریکت"/>
    <tableColumn id="2" xr3:uid="{00000000-0010-0000-0000-000002000000}" name="استان"/>
    <tableColumn id="3" xr3:uid="{00000000-0010-0000-0000-000003000000}" name="شهر"/>
    <tableColumn id="4" xr3:uid="{00000000-0010-0000-0000-000004000000}" name="نام فروشگاه"/>
    <tableColumn id="5" xr3:uid="{00000000-0010-0000-0000-000005000000}" name="TarikhShamsi" dataDxfId="339"/>
    <tableColumn id="6" xr3:uid="{00000000-0010-0000-0000-000006000000}" name="کد فروشگاه"/>
    <tableColumn id="7" xr3:uid="{00000000-0010-0000-0000-000007000000}" name="company"/>
    <tableColumn id="8" xr3:uid="{00000000-0010-0000-0000-000008000000}" name="قیمت مصرف کننده" dataDxfId="338"/>
    <tableColumn id="9" xr3:uid="{00000000-0010-0000-0000-000009000000}" name="تخفیفات عادی افق کوروش" dataDxfId="337"/>
    <tableColumn id="10" xr3:uid="{00000000-0010-0000-0000-00000A000000}" name="قیمت فروش افق کوروش" dataDxfId="336"/>
    <tableColumn id="11" xr3:uid="{00000000-0010-0000-0000-00000B000000}" name="درصد تخفیف افق کوروش" dataDxfId="335"/>
    <tableColumn id="12" xr3:uid="{00000000-0010-0000-0000-00000C000000}" name="تخفیف پلتفرم" dataDxfId="334"/>
    <tableColumn id="13" xr3:uid="{00000000-0010-0000-0000-00000D000000}" name="کل تخفیف پلتفرم" dataDxfId="333"/>
    <tableColumn id="14" xr3:uid="{00000000-0010-0000-0000-00000E000000}" name="قیمت فروش پلتفرم" dataDxfId="332"/>
    <tableColumn id="15" xr3:uid="{00000000-0010-0000-0000-00000F000000}" name="قیمت فروش خالص" dataDxfId="331"/>
    <tableColumn id="16" xr3:uid="{00000000-0010-0000-0000-000010000000}" name="قیمت فروش خالص با تخفبفات " dataDxfId="330"/>
    <tableColumn id="17" xr3:uid="{00000000-0010-0000-0000-000011000000}" name="پرداختی مشتری" dataDxfId="329"/>
    <tableColumn id="18" xr3:uid="{00000000-0010-0000-0000-000012000000}" name="AOVمصرف کننده" dataDxfId="328"/>
    <tableColumn id="19" xr3:uid="{00000000-0010-0000-0000-000013000000}" name="AOVافق کوروش" dataDxfId="327"/>
    <tableColumn id="20" xr3:uid="{00000000-0010-0000-0000-000014000000}" name="AOVپلتفرم" dataDxfId="326"/>
    <tableColumn id="21" xr3:uid="{00000000-0010-0000-0000-000015000000}" name="Average of PlatformDiscountPercent" dataDxfId="325"/>
    <tableColumn id="22" xr3:uid="{00000000-0010-0000-0000-000016000000}" name="ثبتی" dataDxfId="324"/>
    <tableColumn id="23" xr3:uid="{00000000-0010-0000-0000-000017000000}" name="تحویلی" dataDxfId="323"/>
    <tableColumn id="24" xr3:uid="{00000000-0010-0000-0000-000018000000}" name="تحویلی به سفیر" dataDxfId="322"/>
    <tableColumn id="25" xr3:uid="{00000000-0010-0000-0000-000019000000}" name="تحویلی به مشتری" dataDxfId="321"/>
    <tableColumn id="26" xr3:uid="{00000000-0010-0000-0000-00001A000000}" name="نسبت تحویلی به ثبتی" dataDxfId="320"/>
    <tableColumn id="27" xr3:uid="{00000000-0010-0000-0000-00001B000000}" name="OSR_OK"/>
    <tableColumn id="28" xr3:uid="{00000000-0010-0000-0000-00001C000000}" name="IPO"/>
    <tableColumn id="29" xr3:uid="{00000000-0010-0000-0000-00001D000000}" name="LPO"/>
    <tableColumn id="30" xr3:uid="{00000000-0010-0000-0000-00001E000000}" name="عدم جمع‌آوری" dataDxfId="319"/>
    <tableColumn id="31" xr3:uid="{00000000-0010-0000-0000-00001F000000}" name="درصد عدم جمع‌آوری" dataDxfId="318"/>
    <tableColumn id="32" xr3:uid="{00000000-0010-0000-0000-000020000000}" name="سفارش باز" dataDxfId="317"/>
    <tableColumn id="33" xr3:uid="{00000000-0010-0000-0000-000021000000}" name="کنسلی" dataDxfId="316"/>
    <tableColumn id="34" xr3:uid="{00000000-0010-0000-0000-000022000000}" name="CancelPercent" dataDxfId="315"/>
    <tableColumn id="35" xr3:uid="{00000000-0010-0000-0000-000023000000}" name="درصد کنسلی به دلیل تاخیر" dataDxfId="314"/>
    <tableColumn id="36" xr3:uid="{00000000-0010-0000-0000-000024000000}" name="درصد کنسلی به دلیل ناموجودی" dataDxfId="313"/>
    <tableColumn id="37" xr3:uid="{00000000-0010-0000-0000-000025000000}" name="ناموجودی" dataDxfId="312"/>
    <tableColumn id="38" xr3:uid="{00000000-0010-0000-0000-000026000000}" name="NFCPercent" dataDxfId="311"/>
    <tableColumn id="39" xr3:uid="{00000000-0010-0000-0000-000027000000}" name="کنسلی به دلیل ناموجودی" dataDxfId="310"/>
    <tableColumn id="40" xr3:uid="{00000000-0010-0000-0000-000028000000}" name="مرجوعی" dataDxfId="309"/>
    <tableColumn id="41" xr3:uid="{00000000-0010-0000-0000-000029000000}" name="درصد مرجوعی" dataDxfId="308"/>
    <tableColumn id="42" xr3:uid="{00000000-0010-0000-0000-00002A000000}" name="تاخیر" dataDxfId="307"/>
    <tableColumn id="43" xr3:uid="{00000000-0010-0000-0000-00002B000000}" name="درصد تاخیر" dataDxfId="306"/>
    <tableColumn id="44" xr3:uid="{00000000-0010-0000-0000-00002C000000}" name="تاخیر لجستیک"/>
    <tableColumn id="45" xr3:uid="{00000000-0010-0000-0000-00002D000000}" name="کنسلی به دلیل تاخیر" dataDxfId="305"/>
    <tableColumn id="46" xr3:uid="{00000000-0010-0000-0000-00002E000000}" name="انتظار جورچین"/>
    <tableColumn id="47" xr3:uid="{00000000-0010-0000-0000-00002F000000}" name="جورچینی"/>
    <tableColumn id="48" xr3:uid="{00000000-0010-0000-0000-000030000000}" name="Average of Cash" dataDxfId="304"/>
    <tableColumn id="49" xr3:uid="{00000000-0010-0000-0000-000031000000}" name="ارگانیک ثبتی" dataDxfId="303"/>
    <tableColumn id="50" xr3:uid="{00000000-0010-0000-0000-000032000000}" name="درصد ارگانیک ثبتی" dataDxfId="302"/>
    <tableColumn id="51" xr3:uid="{00000000-0010-0000-0000-000033000000}" name="ارگانیک تحویلی" dataDxfId="301"/>
    <tableColumn id="52" xr3:uid="{00000000-0010-0000-0000-000034000000}" name="درصد ارگانیک تحویلی" dataDxfId="300"/>
    <tableColumn id="53" xr3:uid="{00000000-0010-0000-0000-000035000000}" name="شرکت تحویل دهنده"/>
    <tableColumn id="54" xr3:uid="{00000000-0010-0000-0000-000036000000}" name="سوپروایزر"/>
    <tableColumn id="55" xr3:uid="{00000000-0010-0000-0000-000037000000}" name="معين فروشگاه"/>
    <tableColumn id="56" xr3:uid="{00000000-0010-0000-0000-000038000000}" name="تعداد پرسنل فعال"/>
    <tableColumn id="57" xr3:uid="{00000000-0010-0000-0000-000039000000}" name="تعداد پرسنل " dataDxfId="299"/>
    <tableColumn id="58" xr3:uid="{00000000-0010-0000-0000-00003A000000}" name="تعداد پرسنل پیشنهادی" dataDxfId="298"/>
    <tableColumn id="59" xr3:uid="{F9237A95-3044-4C29-A673-D0932A5C54F2}" name="سوپروایزر  " dataDxfId="297">
      <calculatedColumnFormula>VLOOKUP(Table1[[#This Row],[کد فروشگاه]],'[1]شعب فعال'!$C:$F,4,0)</calculatedColumnFormula>
    </tableColumn>
    <tableColumn id="60" xr3:uid="{6C96DE07-7C6F-4020-96A4-AE2A5ED2C4CE}" name="Column1" dataDxfId="29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DE4AC7-20F1-459F-B391-7A001C2D80ED}" name="Table15" displayName="Table15" ref="A1:S27">
  <autoFilter ref="A1:S27" xr:uid="{2ADE4AC7-20F1-459F-B391-7A001C2D80ED}"/>
  <tableColumns count="19">
    <tableColumn id="1" xr3:uid="{A5AD772D-2C28-4792-98EC-16B429501C6E}" name="تاریخ" dataDxfId="110"/>
    <tableColumn id="2" xr3:uid="{9986A381-1F61-4B25-86D3-CFBA70434013}" name="زمان" dataDxfId="109"/>
    <tableColumn id="3" xr3:uid="{9BD9B1FB-18B9-47F5-B6AB-9E97B08E1565}" name="منطقه"/>
    <tableColumn id="4" xr3:uid="{96FB059C-6610-4752-9B83-92BE3156CA89}" name="mdStoreSN"/>
    <tableColumn id="5" xr3:uid="{9073A0AF-C7C6-499D-9E63-108D4F40C605}" name="InventLocationID"/>
    <tableColumn id="6" xr3:uid="{43D56D81-467A-456B-B572-7C3B7031CCC9}" name="فروشگاه"/>
    <tableColumn id="7" xr3:uid="{9D56DCE1-D3D1-4960-A23E-5A3BE76B7DA4}" name="OrderCode"/>
    <tableColumn id="8" xr3:uid="{0C84978D-62CD-4FF5-8F49-8128578F1FF8}" name="SalesChannel"/>
    <tableColumn id="9" xr3:uid="{6F30074B-09F4-4E52-A7D9-B10FC3FE60F7}" name="Level1"/>
    <tableColumn id="10" xr3:uid="{4714EF86-1AFE-4FC6-962C-54E7E4453A4A}" name="Level2"/>
    <tableColumn id="11" xr3:uid="{12C6D398-817D-420D-BFF8-BAF3F8C3BBDA}" name="Level3"/>
    <tableColumn id="12" xr3:uid="{6F2996EE-15CA-4DCC-A3AF-AB463483B77B}" name="Level4"/>
    <tableColumn id="13" xr3:uid="{1994A34C-B205-4F64-86B8-5602FAD81EF2}" name="Level5"/>
    <tableColumn id="14" xr3:uid="{E79997B1-ED0B-4283-AB1A-8369DAA68153}" name="بارکد ناموجود"/>
    <tableColumn id="15" xr3:uid="{C9437748-D2EC-4574-86B1-22ADA8D2B2CA}" name="کالای ناموجود"/>
    <tableColumn id="16" xr3:uid="{46D7308B-A861-4241-A46D-9662B0E5E916}" name="بارکد جایگزین"/>
    <tableColumn id="17" xr3:uid="{12FF1194-1517-46EA-B1B2-DEEF16912746}" name="کالای جایگزین"/>
    <tableColumn id="18" xr3:uid="{7BDB8580-00B5-4E04-B135-2B5573BB7C8A}" name="تعداد کالای جایگزین"/>
    <tableColumn id="19" xr3:uid="{EE23FBCF-52C7-493A-A7C9-36EB7ACFC571}" name="سوپروایزر" dataDxfId="108">
      <calculatedColumnFormula>VLOOKUP(Table15[[#This Row],[InventLocationID]],'[2]شعب فعال'!$A:$A,4,0)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D833-BFDE-4151-AE6A-EFB349906737}">
  <dimension ref="H1:KJ624"/>
  <sheetViews>
    <sheetView rightToLeft="1" tabSelected="1" topLeftCell="H1" zoomScaleNormal="100" zoomScaleSheetLayoutView="98" workbookViewId="0">
      <selection activeCell="I19" sqref="I19"/>
    </sheetView>
  </sheetViews>
  <sheetFormatPr defaultRowHeight="14.4"/>
  <cols>
    <col min="1" max="7" width="0" hidden="1" customWidth="1"/>
    <col min="8" max="8" width="16.6640625" style="3" bestFit="1" customWidth="1"/>
    <col min="9" max="9" width="16" style="3" bestFit="1" customWidth="1"/>
    <col min="10" max="10" width="26" style="3" bestFit="1" customWidth="1"/>
    <col min="11" max="11" width="4.6640625" style="3" bestFit="1" customWidth="1"/>
    <col min="12" max="12" width="6.21875" style="36" bestFit="1" customWidth="1"/>
    <col min="13" max="13" width="5" style="3" bestFit="1" customWidth="1"/>
    <col min="14" max="14" width="11.77734375" style="33" bestFit="1" customWidth="1"/>
    <col min="15" max="15" width="8.44140625" style="5" bestFit="1" customWidth="1"/>
    <col min="16" max="16" width="6.6640625" style="6" bestFit="1" customWidth="1"/>
    <col min="17" max="17" width="6.88671875" style="6" bestFit="1" customWidth="1"/>
    <col min="18" max="18" width="9.44140625" style="7" bestFit="1" customWidth="1"/>
    <col min="19" max="19" width="5.5546875" style="7" bestFit="1" customWidth="1"/>
    <col min="20" max="20" width="6.44140625" style="4" bestFit="1" customWidth="1"/>
    <col min="21" max="21" width="6.88671875" style="4" bestFit="1" customWidth="1"/>
    <col min="22" max="22" width="16.21875" bestFit="1" customWidth="1"/>
    <col min="23" max="284" width="27.88671875" bestFit="1" customWidth="1"/>
    <col min="285" max="285" width="9.5546875" bestFit="1" customWidth="1"/>
    <col min="286" max="286" width="11.44140625" bestFit="1" customWidth="1"/>
    <col min="287" max="287" width="10.109375" bestFit="1" customWidth="1"/>
    <col min="288" max="288" width="17.44140625" bestFit="1" customWidth="1"/>
    <col min="289" max="289" width="13.88671875" bestFit="1" customWidth="1"/>
    <col min="290" max="290" width="21.5546875" bestFit="1" customWidth="1"/>
    <col min="291" max="291" width="17.6640625" bestFit="1" customWidth="1"/>
    <col min="292" max="292" width="13.44140625" bestFit="1" customWidth="1"/>
    <col min="293" max="293" width="21.88671875" bestFit="1" customWidth="1"/>
    <col min="294" max="294" width="17.33203125" bestFit="1" customWidth="1"/>
    <col min="295" max="295" width="12.109375" bestFit="1" customWidth="1"/>
    <col min="296" max="296" width="22.109375" bestFit="1" customWidth="1"/>
  </cols>
  <sheetData>
    <row r="1" spans="8:296" ht="24" customHeight="1">
      <c r="H1"/>
      <c r="I1"/>
    </row>
    <row r="2" spans="8:296" ht="20.25" customHeight="1">
      <c r="H2"/>
      <c r="I2"/>
      <c r="O2" s="29"/>
      <c r="P2" s="30"/>
      <c r="Q2" s="30"/>
    </row>
    <row r="3" spans="8:296" s="1" customFormat="1" ht="21">
      <c r="H3"/>
      <c r="I3"/>
      <c r="J3" s="31"/>
      <c r="K3" s="31"/>
      <c r="L3" s="37"/>
      <c r="M3" s="31"/>
      <c r="N3" s="34"/>
      <c r="O3" s="31"/>
      <c r="P3" s="31"/>
      <c r="Q3" s="31"/>
      <c r="R3" s="31"/>
      <c r="S3" s="31"/>
      <c r="T3" s="31"/>
      <c r="U3" s="2"/>
    </row>
    <row r="4" spans="8:296" s="1" customFormat="1">
      <c r="H4"/>
      <c r="I4"/>
      <c r="J4"/>
      <c r="K4"/>
      <c r="L4" s="38"/>
      <c r="M4"/>
      <c r="N4" s="35"/>
      <c r="O4"/>
      <c r="P4"/>
      <c r="Q4"/>
      <c r="R4"/>
      <c r="S4"/>
      <c r="T4"/>
      <c r="U4"/>
    </row>
    <row r="5" spans="8:296">
      <c r="H5"/>
      <c r="I5"/>
      <c r="J5"/>
      <c r="K5"/>
      <c r="L5" s="38"/>
      <c r="M5"/>
      <c r="N5" s="35"/>
      <c r="O5"/>
      <c r="P5"/>
      <c r="Q5"/>
      <c r="R5"/>
      <c r="S5"/>
      <c r="T5"/>
      <c r="U5"/>
    </row>
    <row r="6" spans="8:296" ht="72">
      <c r="H6" s="90" t="s">
        <v>4</v>
      </c>
      <c r="I6" s="55" t="s">
        <v>99</v>
      </c>
      <c r="J6" s="55" t="s">
        <v>385</v>
      </c>
      <c r="K6" s="60" t="s">
        <v>101</v>
      </c>
      <c r="L6" s="61" t="s">
        <v>102</v>
      </c>
      <c r="M6" s="112" t="s">
        <v>103</v>
      </c>
      <c r="N6" s="113" t="s">
        <v>193</v>
      </c>
      <c r="O6" s="114" t="s">
        <v>104</v>
      </c>
      <c r="P6" s="117" t="s">
        <v>194</v>
      </c>
      <c r="Q6" s="116" t="s">
        <v>108</v>
      </c>
      <c r="R6" s="62" t="s">
        <v>107</v>
      </c>
      <c r="S6" s="63" t="s">
        <v>105</v>
      </c>
      <c r="T6" s="63" t="s">
        <v>106</v>
      </c>
      <c r="U6" s="61" t="s">
        <v>114</v>
      </c>
      <c r="V6" s="64" t="s">
        <v>153</v>
      </c>
    </row>
    <row r="7" spans="8:296">
      <c r="H7" s="91">
        <v>14050710</v>
      </c>
      <c r="I7" s="92" t="s">
        <v>347</v>
      </c>
      <c r="J7" s="92" t="s">
        <v>87</v>
      </c>
      <c r="K7" s="100">
        <v>76</v>
      </c>
      <c r="L7" s="101">
        <v>76</v>
      </c>
      <c r="M7" s="102">
        <v>3</v>
      </c>
      <c r="N7" s="103">
        <v>3.9473684210526314E-2</v>
      </c>
      <c r="O7" s="104">
        <v>0</v>
      </c>
      <c r="P7" s="105">
        <v>0</v>
      </c>
      <c r="Q7" s="106">
        <v>1.6225641025641</v>
      </c>
      <c r="R7" s="58">
        <v>1.6174358974359</v>
      </c>
      <c r="S7" s="107">
        <v>0</v>
      </c>
      <c r="T7" s="107">
        <v>0</v>
      </c>
      <c r="U7" s="101">
        <v>3</v>
      </c>
      <c r="V7" s="59">
        <v>1</v>
      </c>
    </row>
    <row r="8" spans="8:296">
      <c r="H8" s="91">
        <v>14050710</v>
      </c>
      <c r="I8" s="92" t="s">
        <v>71</v>
      </c>
      <c r="J8" s="92" t="s">
        <v>81</v>
      </c>
      <c r="K8" s="108">
        <v>33</v>
      </c>
      <c r="L8" s="84">
        <v>33</v>
      </c>
      <c r="M8" s="87">
        <v>1</v>
      </c>
      <c r="N8" s="93">
        <v>3.0303030303030304E-2</v>
      </c>
      <c r="O8" s="88">
        <v>0</v>
      </c>
      <c r="P8" s="94">
        <v>0</v>
      </c>
      <c r="Q8" s="89">
        <v>0.81111111111111101</v>
      </c>
      <c r="R8" s="85">
        <v>1.4922222222222199</v>
      </c>
      <c r="S8" s="86">
        <v>0</v>
      </c>
      <c r="T8" s="86">
        <v>0</v>
      </c>
      <c r="U8" s="84">
        <v>0</v>
      </c>
      <c r="V8" s="57">
        <v>1</v>
      </c>
    </row>
    <row r="9" spans="8:296">
      <c r="H9" s="91">
        <v>14050710</v>
      </c>
      <c r="I9" s="92" t="s">
        <v>71</v>
      </c>
      <c r="J9" s="92" t="s">
        <v>92</v>
      </c>
      <c r="K9" s="108">
        <v>52</v>
      </c>
      <c r="L9" s="84">
        <v>52</v>
      </c>
      <c r="M9" s="87">
        <v>1</v>
      </c>
      <c r="N9" s="93">
        <v>1.9230769230769232E-2</v>
      </c>
      <c r="O9" s="88">
        <v>0</v>
      </c>
      <c r="P9" s="94">
        <v>0</v>
      </c>
      <c r="Q9" s="89">
        <v>1.53464052287582</v>
      </c>
      <c r="R9" s="85">
        <v>1.55228758169935</v>
      </c>
      <c r="S9" s="86">
        <v>0</v>
      </c>
      <c r="T9" s="86">
        <v>0</v>
      </c>
      <c r="U9" s="84">
        <v>5</v>
      </c>
      <c r="V9" s="57">
        <v>1</v>
      </c>
    </row>
    <row r="10" spans="8:296">
      <c r="H10" s="91">
        <v>14050710</v>
      </c>
      <c r="I10" s="92" t="s">
        <v>71</v>
      </c>
      <c r="J10" s="92" t="s">
        <v>83</v>
      </c>
      <c r="K10" s="108">
        <v>6</v>
      </c>
      <c r="L10" s="84">
        <v>6</v>
      </c>
      <c r="M10" s="87">
        <v>0</v>
      </c>
      <c r="N10" s="93">
        <v>0</v>
      </c>
      <c r="O10" s="88">
        <v>0</v>
      </c>
      <c r="P10" s="94">
        <v>0</v>
      </c>
      <c r="Q10" s="89">
        <v>0.92777777777777803</v>
      </c>
      <c r="R10" s="85">
        <v>1.37222222222222</v>
      </c>
      <c r="S10" s="86">
        <v>0</v>
      </c>
      <c r="T10" s="86">
        <v>0</v>
      </c>
      <c r="U10" s="84">
        <v>1</v>
      </c>
      <c r="V10" s="57">
        <v>1</v>
      </c>
    </row>
    <row r="11" spans="8:296">
      <c r="H11" s="91">
        <v>14050710</v>
      </c>
      <c r="I11" s="92" t="s">
        <v>348</v>
      </c>
      <c r="J11" s="92" t="s">
        <v>77</v>
      </c>
      <c r="K11" s="108">
        <v>9</v>
      </c>
      <c r="L11" s="84">
        <v>9</v>
      </c>
      <c r="M11" s="87">
        <v>2</v>
      </c>
      <c r="N11" s="93">
        <v>0.22222222222222221</v>
      </c>
      <c r="O11" s="88">
        <v>0</v>
      </c>
      <c r="P11" s="94">
        <v>0</v>
      </c>
      <c r="Q11" s="89">
        <v>3.1166666666666698</v>
      </c>
      <c r="R11" s="85">
        <v>3.44166666666667</v>
      </c>
      <c r="S11" s="86">
        <v>0</v>
      </c>
      <c r="T11" s="86">
        <v>0</v>
      </c>
      <c r="U11" s="84">
        <v>0</v>
      </c>
      <c r="V11" s="57">
        <v>1</v>
      </c>
    </row>
    <row r="12" spans="8:296">
      <c r="H12" s="91">
        <v>14050710</v>
      </c>
      <c r="I12" s="92" t="s">
        <v>348</v>
      </c>
      <c r="J12" s="92" t="s">
        <v>79</v>
      </c>
      <c r="K12" s="108">
        <v>40</v>
      </c>
      <c r="L12" s="84">
        <v>40</v>
      </c>
      <c r="M12" s="87">
        <v>0</v>
      </c>
      <c r="N12" s="93">
        <v>0</v>
      </c>
      <c r="O12" s="88">
        <v>0</v>
      </c>
      <c r="P12" s="94">
        <v>0</v>
      </c>
      <c r="Q12" s="89">
        <v>1.5641025641025601</v>
      </c>
      <c r="R12" s="85">
        <v>1.39786324786325</v>
      </c>
      <c r="S12" s="86">
        <v>0</v>
      </c>
      <c r="T12" s="86">
        <v>0</v>
      </c>
      <c r="U12" s="84">
        <v>1</v>
      </c>
      <c r="V12" s="57">
        <v>1</v>
      </c>
    </row>
    <row r="13" spans="8:296">
      <c r="H13" s="91">
        <v>14050710</v>
      </c>
      <c r="I13" s="92" t="s">
        <v>348</v>
      </c>
      <c r="J13" s="92" t="s">
        <v>66</v>
      </c>
      <c r="K13" s="108">
        <v>36</v>
      </c>
      <c r="L13" s="84">
        <v>36</v>
      </c>
      <c r="M13" s="87">
        <v>0</v>
      </c>
      <c r="N13" s="93">
        <v>0</v>
      </c>
      <c r="O13" s="88">
        <v>0</v>
      </c>
      <c r="P13" s="94">
        <v>0</v>
      </c>
      <c r="Q13" s="89">
        <v>1.5017857142857101</v>
      </c>
      <c r="R13" s="85">
        <v>1.0220238095238099</v>
      </c>
      <c r="S13" s="86">
        <v>0</v>
      </c>
      <c r="T13" s="86">
        <v>0</v>
      </c>
      <c r="U13" s="84">
        <v>1</v>
      </c>
      <c r="V13" s="57">
        <v>1</v>
      </c>
    </row>
    <row r="14" spans="8:296">
      <c r="H14" s="91">
        <v>14050710</v>
      </c>
      <c r="I14" s="92" t="s">
        <v>348</v>
      </c>
      <c r="J14" s="92" t="s">
        <v>72</v>
      </c>
      <c r="K14" s="108">
        <v>27</v>
      </c>
      <c r="L14" s="84">
        <v>27</v>
      </c>
      <c r="M14" s="87">
        <v>0</v>
      </c>
      <c r="N14" s="93">
        <v>0</v>
      </c>
      <c r="O14" s="88">
        <v>0</v>
      </c>
      <c r="P14" s="94">
        <v>0</v>
      </c>
      <c r="Q14" s="89">
        <v>0.20362318840579699</v>
      </c>
      <c r="R14" s="85">
        <v>1.01811594202899</v>
      </c>
      <c r="S14" s="86">
        <v>0</v>
      </c>
      <c r="T14" s="86">
        <v>0</v>
      </c>
      <c r="U14" s="84">
        <v>1</v>
      </c>
      <c r="V14" s="57">
        <v>1</v>
      </c>
    </row>
    <row r="15" spans="8:296">
      <c r="H15" s="91">
        <v>14050710</v>
      </c>
      <c r="I15" s="92" t="s">
        <v>65</v>
      </c>
      <c r="J15" s="92" t="s">
        <v>61</v>
      </c>
      <c r="K15" s="108">
        <v>36</v>
      </c>
      <c r="L15" s="84">
        <v>36</v>
      </c>
      <c r="M15" s="87">
        <v>1</v>
      </c>
      <c r="N15" s="93">
        <v>2.7777777777777776E-2</v>
      </c>
      <c r="O15" s="88">
        <v>0</v>
      </c>
      <c r="P15" s="94">
        <v>0</v>
      </c>
      <c r="Q15" s="89">
        <v>2.2310810810810802</v>
      </c>
      <c r="R15" s="85">
        <v>1.5067567567567599</v>
      </c>
      <c r="S15" s="86">
        <v>0</v>
      </c>
      <c r="T15" s="86">
        <v>0</v>
      </c>
      <c r="U15" s="84">
        <v>0</v>
      </c>
      <c r="V15" s="57">
        <v>1</v>
      </c>
    </row>
    <row r="16" spans="8:296" s="28" customFormat="1">
      <c r="H16" s="91">
        <v>14050710</v>
      </c>
      <c r="I16" s="92" t="s">
        <v>65</v>
      </c>
      <c r="J16" s="92" t="s">
        <v>85</v>
      </c>
      <c r="K16" s="108">
        <v>44</v>
      </c>
      <c r="L16" s="84">
        <v>44</v>
      </c>
      <c r="M16" s="87">
        <v>0</v>
      </c>
      <c r="N16" s="93">
        <v>0</v>
      </c>
      <c r="O16" s="88">
        <v>0</v>
      </c>
      <c r="P16" s="94">
        <v>0</v>
      </c>
      <c r="Q16" s="89">
        <v>1.8204166666666699</v>
      </c>
      <c r="R16" s="85">
        <v>2.15208333333333</v>
      </c>
      <c r="S16" s="86">
        <v>0</v>
      </c>
      <c r="T16" s="86">
        <v>0</v>
      </c>
      <c r="U16" s="84">
        <v>0</v>
      </c>
      <c r="V16" s="57">
        <v>1</v>
      </c>
      <c r="W16" s="79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</row>
    <row r="17" spans="8:22">
      <c r="H17" s="91">
        <v>14050710</v>
      </c>
      <c r="I17" s="92" t="s">
        <v>386</v>
      </c>
      <c r="J17" s="92" t="s">
        <v>152</v>
      </c>
      <c r="K17" s="108">
        <v>68</v>
      </c>
      <c r="L17" s="84">
        <v>68</v>
      </c>
      <c r="M17" s="87">
        <v>1</v>
      </c>
      <c r="N17" s="93">
        <v>1.4705882352941176E-2</v>
      </c>
      <c r="O17" s="88">
        <v>0</v>
      </c>
      <c r="P17" s="94">
        <v>0</v>
      </c>
      <c r="Q17" s="89">
        <v>1.61565656565657</v>
      </c>
      <c r="R17" s="85">
        <v>1.2419191919191901</v>
      </c>
      <c r="S17" s="86">
        <v>0</v>
      </c>
      <c r="T17" s="86">
        <v>0</v>
      </c>
      <c r="U17" s="84">
        <v>0</v>
      </c>
      <c r="V17" s="57">
        <v>1</v>
      </c>
    </row>
    <row r="18" spans="8:22">
      <c r="H18" s="91">
        <v>14050710</v>
      </c>
      <c r="I18" s="92" t="s">
        <v>386</v>
      </c>
      <c r="J18" s="92" t="s">
        <v>160</v>
      </c>
      <c r="K18" s="108">
        <v>58</v>
      </c>
      <c r="L18" s="84">
        <v>58</v>
      </c>
      <c r="M18" s="87">
        <v>0</v>
      </c>
      <c r="N18" s="93">
        <v>0</v>
      </c>
      <c r="O18" s="88">
        <v>0</v>
      </c>
      <c r="P18" s="94">
        <v>0</v>
      </c>
      <c r="Q18" s="89">
        <v>0.987202380952381</v>
      </c>
      <c r="R18" s="85">
        <v>1.5360119047619001</v>
      </c>
      <c r="S18" s="86">
        <v>0</v>
      </c>
      <c r="T18" s="86">
        <v>0</v>
      </c>
      <c r="U18" s="84">
        <v>2</v>
      </c>
      <c r="V18" s="57">
        <v>1</v>
      </c>
    </row>
    <row r="19" spans="8:22">
      <c r="H19" s="91">
        <v>14050710</v>
      </c>
      <c r="I19" s="92" t="s">
        <v>111</v>
      </c>
      <c r="J19" s="92" t="s">
        <v>75</v>
      </c>
      <c r="K19" s="108">
        <v>16</v>
      </c>
      <c r="L19" s="84">
        <v>16</v>
      </c>
      <c r="M19" s="87">
        <v>0</v>
      </c>
      <c r="N19" s="93">
        <v>0</v>
      </c>
      <c r="O19" s="88">
        <v>0</v>
      </c>
      <c r="P19" s="94">
        <v>0</v>
      </c>
      <c r="Q19" s="89">
        <v>0.98333333333333295</v>
      </c>
      <c r="R19" s="85">
        <v>1.4875</v>
      </c>
      <c r="S19" s="86">
        <v>0</v>
      </c>
      <c r="T19" s="86">
        <v>0</v>
      </c>
      <c r="U19" s="84">
        <v>0</v>
      </c>
      <c r="V19" s="57">
        <v>1</v>
      </c>
    </row>
    <row r="20" spans="8:22">
      <c r="H20" s="91">
        <v>14050710</v>
      </c>
      <c r="I20" s="92" t="s">
        <v>111</v>
      </c>
      <c r="J20" s="92" t="s">
        <v>69</v>
      </c>
      <c r="K20" s="108">
        <v>33</v>
      </c>
      <c r="L20" s="84">
        <v>33</v>
      </c>
      <c r="M20" s="87">
        <v>0</v>
      </c>
      <c r="N20" s="93">
        <v>0</v>
      </c>
      <c r="O20" s="88">
        <v>0</v>
      </c>
      <c r="P20" s="94">
        <v>0</v>
      </c>
      <c r="Q20" s="89">
        <v>0.97626262626262605</v>
      </c>
      <c r="R20" s="85">
        <v>1.4065656565656599</v>
      </c>
      <c r="S20" s="86">
        <v>0</v>
      </c>
      <c r="T20" s="86">
        <v>0</v>
      </c>
      <c r="U20" s="84">
        <v>0</v>
      </c>
      <c r="V20" s="57">
        <v>1</v>
      </c>
    </row>
    <row r="21" spans="8:22">
      <c r="H21" s="91">
        <v>14050710</v>
      </c>
      <c r="I21" s="92" t="s">
        <v>387</v>
      </c>
      <c r="J21" s="92" t="s">
        <v>159</v>
      </c>
      <c r="K21" s="108">
        <v>75</v>
      </c>
      <c r="L21" s="84">
        <v>75</v>
      </c>
      <c r="M21" s="87">
        <v>0</v>
      </c>
      <c r="N21" s="93">
        <v>0</v>
      </c>
      <c r="O21" s="88">
        <v>0</v>
      </c>
      <c r="P21" s="94">
        <v>0</v>
      </c>
      <c r="Q21" s="89">
        <v>0.68708920187793399</v>
      </c>
      <c r="R21" s="85">
        <v>1.4586854460093901</v>
      </c>
      <c r="S21" s="86">
        <v>0</v>
      </c>
      <c r="T21" s="86">
        <v>0</v>
      </c>
      <c r="U21" s="84">
        <v>0</v>
      </c>
      <c r="V21" s="57">
        <v>1</v>
      </c>
    </row>
    <row r="22" spans="8:22">
      <c r="H22" s="91">
        <v>14050710</v>
      </c>
      <c r="I22" s="92" t="s">
        <v>387</v>
      </c>
      <c r="J22" s="92" t="s">
        <v>161</v>
      </c>
      <c r="K22" s="108">
        <v>29</v>
      </c>
      <c r="L22" s="84">
        <v>29</v>
      </c>
      <c r="M22" s="87">
        <v>0</v>
      </c>
      <c r="N22" s="93">
        <v>0</v>
      </c>
      <c r="O22" s="88">
        <v>0</v>
      </c>
      <c r="P22" s="94">
        <v>0</v>
      </c>
      <c r="Q22" s="89">
        <v>0.77701149425287397</v>
      </c>
      <c r="R22" s="85">
        <v>1.0752873563218399</v>
      </c>
      <c r="S22" s="86">
        <v>0</v>
      </c>
      <c r="T22" s="86">
        <v>0</v>
      </c>
      <c r="U22" s="84">
        <v>1</v>
      </c>
      <c r="V22" s="57">
        <v>1</v>
      </c>
    </row>
    <row r="23" spans="8:22" ht="15" thickBot="1">
      <c r="H23" s="91">
        <v>14050710</v>
      </c>
      <c r="I23" s="92" t="s">
        <v>68</v>
      </c>
      <c r="J23" s="92" t="s">
        <v>90</v>
      </c>
      <c r="K23" s="108">
        <v>61</v>
      </c>
      <c r="L23" s="84">
        <v>61</v>
      </c>
      <c r="M23" s="87">
        <v>0</v>
      </c>
      <c r="N23" s="93">
        <v>0</v>
      </c>
      <c r="O23" s="88">
        <v>0</v>
      </c>
      <c r="P23" s="94">
        <v>0</v>
      </c>
      <c r="Q23" s="89">
        <v>1.59466666666667</v>
      </c>
      <c r="R23" s="85">
        <v>1.34266666666667</v>
      </c>
      <c r="S23" s="86">
        <v>0</v>
      </c>
      <c r="T23" s="86">
        <v>0</v>
      </c>
      <c r="U23" s="84">
        <v>1</v>
      </c>
      <c r="V23" s="57">
        <v>1</v>
      </c>
    </row>
    <row r="24" spans="8:22">
      <c r="H24" s="110" t="s">
        <v>100</v>
      </c>
      <c r="I24" s="115"/>
      <c r="J24" s="111"/>
      <c r="K24" s="109">
        <v>699</v>
      </c>
      <c r="L24" s="95">
        <v>699</v>
      </c>
      <c r="M24" s="96">
        <v>9</v>
      </c>
      <c r="N24" s="66">
        <v>1.2875536480686695E-2</v>
      </c>
      <c r="O24" s="97">
        <v>0</v>
      </c>
      <c r="P24" s="67">
        <v>0</v>
      </c>
      <c r="Q24" s="98">
        <v>1.3502936273258634</v>
      </c>
      <c r="R24" s="68">
        <v>1.5365478765880676</v>
      </c>
      <c r="S24" s="99">
        <v>0</v>
      </c>
      <c r="T24" s="99">
        <v>0</v>
      </c>
      <c r="U24" s="95">
        <v>16</v>
      </c>
      <c r="V24" s="69">
        <v>1</v>
      </c>
    </row>
    <row r="25" spans="8:22"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8:22"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8:22"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8:22"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8:22"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8:22"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8:22"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8:22"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8:21"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8:21"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8:21"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8:21"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8:21"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8:21"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8:21"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8:21"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8:21"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8:21"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8:21"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8:21"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8:21"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8:21"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8:21"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8:21"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 ht="15" thickBo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 ht="15" thickBo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spans="8:21"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8:21" ht="15" thickBot="1"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8:21"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8:21">
      <c r="H564"/>
      <c r="I564"/>
      <c r="J564"/>
      <c r="K564"/>
      <c r="L564" s="38"/>
      <c r="M564"/>
      <c r="N564" s="35"/>
      <c r="O564"/>
      <c r="P564"/>
      <c r="Q564"/>
      <c r="R564"/>
      <c r="S564"/>
      <c r="T564"/>
    </row>
    <row r="565" spans="8:21">
      <c r="H565"/>
      <c r="I565"/>
      <c r="J565"/>
      <c r="K565"/>
      <c r="L565" s="38"/>
      <c r="M565"/>
      <c r="N565" s="35"/>
      <c r="O565"/>
      <c r="P565"/>
      <c r="Q565"/>
      <c r="R565"/>
      <c r="S565"/>
      <c r="T565"/>
    </row>
    <row r="566" spans="8:21">
      <c r="H566"/>
      <c r="I566"/>
      <c r="J566"/>
      <c r="K566"/>
      <c r="L566" s="38"/>
      <c r="M566"/>
      <c r="N566" s="35"/>
      <c r="O566"/>
      <c r="P566"/>
      <c r="Q566"/>
      <c r="R566"/>
      <c r="S566"/>
      <c r="T566"/>
    </row>
    <row r="567" spans="8:21">
      <c r="H567"/>
      <c r="I567"/>
      <c r="J567"/>
      <c r="K567"/>
      <c r="L567" s="38"/>
      <c r="M567"/>
      <c r="N567" s="35"/>
      <c r="O567"/>
      <c r="P567"/>
      <c r="Q567"/>
      <c r="R567"/>
      <c r="S567"/>
      <c r="T567"/>
    </row>
    <row r="568" spans="8:21">
      <c r="H568"/>
      <c r="I568"/>
      <c r="J568"/>
      <c r="K568"/>
      <c r="L568" s="38"/>
      <c r="M568"/>
      <c r="N568" s="35"/>
      <c r="O568"/>
      <c r="P568"/>
      <c r="Q568"/>
      <c r="R568"/>
      <c r="S568"/>
      <c r="T568"/>
    </row>
    <row r="569" spans="8:21">
      <c r="H569"/>
      <c r="I569"/>
      <c r="J569"/>
      <c r="K569"/>
      <c r="L569" s="38"/>
      <c r="M569"/>
      <c r="N569" s="35"/>
      <c r="O569"/>
      <c r="P569"/>
      <c r="Q569"/>
      <c r="R569"/>
      <c r="S569"/>
      <c r="T569"/>
    </row>
    <row r="570" spans="8:21">
      <c r="H570"/>
      <c r="I570"/>
      <c r="J570"/>
      <c r="K570"/>
      <c r="L570" s="38"/>
      <c r="M570"/>
      <c r="N570" s="35"/>
      <c r="O570"/>
      <c r="P570"/>
      <c r="Q570"/>
      <c r="R570"/>
      <c r="S570"/>
      <c r="T570"/>
    </row>
    <row r="571" spans="8:21">
      <c r="H571"/>
      <c r="I571"/>
      <c r="J571"/>
      <c r="K571"/>
      <c r="L571" s="38"/>
      <c r="M571"/>
      <c r="N571" s="35"/>
      <c r="O571"/>
      <c r="P571"/>
      <c r="Q571"/>
      <c r="R571"/>
      <c r="S571"/>
      <c r="T571"/>
    </row>
    <row r="572" spans="8:21">
      <c r="H572"/>
      <c r="I572"/>
      <c r="J572"/>
      <c r="K572"/>
      <c r="L572" s="38"/>
      <c r="M572"/>
      <c r="N572" s="35"/>
      <c r="O572"/>
      <c r="P572"/>
      <c r="Q572"/>
      <c r="R572"/>
      <c r="S572"/>
      <c r="T572"/>
    </row>
    <row r="573" spans="8:21">
      <c r="H573"/>
      <c r="I573"/>
      <c r="J573"/>
      <c r="K573"/>
      <c r="L573" s="38"/>
      <c r="M573"/>
      <c r="N573" s="35"/>
      <c r="O573"/>
      <c r="P573"/>
      <c r="Q573"/>
      <c r="R573"/>
      <c r="S573"/>
      <c r="T573"/>
    </row>
    <row r="574" spans="8:21">
      <c r="H574"/>
      <c r="I574"/>
      <c r="J574"/>
      <c r="K574"/>
      <c r="L574" s="38"/>
      <c r="M574"/>
      <c r="N574" s="35"/>
      <c r="O574"/>
      <c r="P574"/>
      <c r="Q574"/>
      <c r="R574"/>
      <c r="S574"/>
      <c r="T574"/>
    </row>
    <row r="575" spans="8:21">
      <c r="H575"/>
      <c r="I575"/>
      <c r="J575"/>
      <c r="K575"/>
      <c r="L575" s="38"/>
      <c r="M575"/>
      <c r="N575" s="35"/>
      <c r="O575"/>
      <c r="P575"/>
      <c r="Q575"/>
      <c r="R575"/>
      <c r="S575"/>
      <c r="T575"/>
    </row>
    <row r="576" spans="8:21">
      <c r="H576"/>
      <c r="I576"/>
      <c r="J576"/>
      <c r="K576"/>
      <c r="L576" s="38"/>
      <c r="M576"/>
      <c r="N576" s="35"/>
      <c r="O576"/>
      <c r="P576"/>
      <c r="Q576"/>
      <c r="R576"/>
      <c r="S576"/>
      <c r="T576"/>
    </row>
    <row r="577" spans="8:20">
      <c r="H577"/>
      <c r="I577"/>
      <c r="J577"/>
      <c r="K577"/>
      <c r="L577" s="38"/>
      <c r="M577"/>
      <c r="N577" s="35"/>
      <c r="O577"/>
      <c r="P577"/>
      <c r="Q577"/>
      <c r="R577"/>
      <c r="S577"/>
      <c r="T577"/>
    </row>
    <row r="578" spans="8:20">
      <c r="H578"/>
      <c r="I578"/>
      <c r="J578"/>
      <c r="K578"/>
      <c r="L578" s="38"/>
      <c r="M578"/>
      <c r="N578" s="35"/>
      <c r="O578"/>
      <c r="P578"/>
      <c r="Q578"/>
      <c r="R578"/>
      <c r="S578"/>
      <c r="T578"/>
    </row>
    <row r="579" spans="8:20">
      <c r="H579"/>
      <c r="I579"/>
      <c r="J579"/>
      <c r="K579"/>
      <c r="L579" s="38"/>
      <c r="M579"/>
      <c r="N579" s="35"/>
      <c r="O579"/>
      <c r="P579"/>
      <c r="Q579"/>
      <c r="R579"/>
      <c r="S579"/>
      <c r="T579"/>
    </row>
    <row r="580" spans="8:20">
      <c r="H580"/>
      <c r="I580"/>
      <c r="J580"/>
      <c r="K580"/>
      <c r="L580" s="38"/>
      <c r="M580"/>
      <c r="N580" s="35"/>
      <c r="O580"/>
      <c r="P580"/>
      <c r="Q580"/>
      <c r="R580"/>
      <c r="S580"/>
      <c r="T580"/>
    </row>
    <row r="581" spans="8:20">
      <c r="H581"/>
      <c r="I581"/>
      <c r="J581"/>
      <c r="K581"/>
      <c r="L581" s="38"/>
      <c r="M581"/>
      <c r="N581" s="35"/>
      <c r="O581"/>
      <c r="P581"/>
      <c r="Q581"/>
      <c r="R581"/>
      <c r="S581"/>
      <c r="T581"/>
    </row>
    <row r="582" spans="8:20">
      <c r="H582"/>
      <c r="I582"/>
      <c r="J582"/>
      <c r="K582"/>
      <c r="L582" s="38"/>
      <c r="M582"/>
      <c r="N582" s="35"/>
      <c r="O582"/>
      <c r="P582"/>
      <c r="Q582"/>
      <c r="R582"/>
      <c r="S582"/>
      <c r="T582"/>
    </row>
    <row r="583" spans="8:20">
      <c r="H583"/>
      <c r="I583"/>
      <c r="J583"/>
      <c r="K583"/>
      <c r="L583" s="38"/>
      <c r="M583"/>
      <c r="N583" s="35"/>
      <c r="O583"/>
      <c r="P583"/>
      <c r="Q583"/>
      <c r="R583"/>
      <c r="S583"/>
      <c r="T583"/>
    </row>
    <row r="584" spans="8:20">
      <c r="H584"/>
      <c r="I584"/>
      <c r="J584"/>
      <c r="K584"/>
      <c r="L584" s="38"/>
      <c r="M584"/>
      <c r="N584" s="35"/>
      <c r="O584"/>
      <c r="P584"/>
      <c r="Q584"/>
      <c r="R584"/>
      <c r="S584"/>
      <c r="T584"/>
    </row>
    <row r="585" spans="8:20">
      <c r="H585"/>
      <c r="I585"/>
      <c r="J585"/>
      <c r="K585"/>
      <c r="L585" s="38"/>
      <c r="M585"/>
      <c r="N585" s="35"/>
      <c r="O585"/>
      <c r="P585"/>
      <c r="Q585"/>
      <c r="R585"/>
      <c r="S585"/>
      <c r="T585"/>
    </row>
    <row r="586" spans="8:20">
      <c r="H586"/>
      <c r="I586"/>
      <c r="J586"/>
      <c r="K586"/>
      <c r="L586" s="38"/>
      <c r="M586"/>
      <c r="N586" s="35"/>
      <c r="O586"/>
      <c r="P586"/>
      <c r="Q586"/>
      <c r="R586"/>
      <c r="S586"/>
      <c r="T586"/>
    </row>
    <row r="587" spans="8:20">
      <c r="H587"/>
      <c r="I587"/>
      <c r="J587"/>
      <c r="K587"/>
      <c r="L587" s="38"/>
      <c r="M587"/>
      <c r="N587" s="35"/>
      <c r="O587"/>
      <c r="P587"/>
      <c r="Q587"/>
      <c r="R587"/>
      <c r="S587"/>
      <c r="T587"/>
    </row>
    <row r="588" spans="8:20">
      <c r="H588"/>
      <c r="I588"/>
      <c r="J588"/>
      <c r="K588"/>
      <c r="L588" s="38"/>
      <c r="M588"/>
      <c r="N588" s="35"/>
      <c r="O588"/>
      <c r="P588"/>
      <c r="Q588"/>
      <c r="R588"/>
      <c r="S588"/>
      <c r="T588"/>
    </row>
    <row r="589" spans="8:20">
      <c r="H589"/>
      <c r="I589"/>
      <c r="J589"/>
      <c r="K589"/>
      <c r="L589" s="38"/>
      <c r="M589"/>
      <c r="N589" s="35"/>
      <c r="O589"/>
      <c r="P589"/>
      <c r="Q589"/>
      <c r="R589"/>
      <c r="S589"/>
      <c r="T589"/>
    </row>
    <row r="590" spans="8:20">
      <c r="H590"/>
      <c r="I590"/>
      <c r="J590"/>
      <c r="K590"/>
      <c r="L590" s="38"/>
      <c r="M590"/>
      <c r="N590" s="35"/>
      <c r="O590"/>
      <c r="P590"/>
      <c r="Q590"/>
      <c r="R590"/>
      <c r="S590"/>
      <c r="T590"/>
    </row>
    <row r="591" spans="8:20">
      <c r="H591"/>
      <c r="I591"/>
      <c r="J591"/>
      <c r="K591"/>
      <c r="L591" s="38"/>
      <c r="M591"/>
      <c r="N591" s="35"/>
      <c r="O591"/>
      <c r="P591"/>
      <c r="Q591"/>
      <c r="R591"/>
      <c r="S591"/>
      <c r="T591"/>
    </row>
    <row r="592" spans="8:20">
      <c r="H592"/>
      <c r="I592"/>
      <c r="J592"/>
      <c r="K592"/>
      <c r="L592" s="38"/>
      <c r="M592"/>
      <c r="N592" s="35"/>
      <c r="O592"/>
      <c r="P592"/>
      <c r="Q592"/>
      <c r="R592"/>
      <c r="S592"/>
      <c r="T592"/>
    </row>
    <row r="593" spans="8:20">
      <c r="H593"/>
      <c r="I593"/>
      <c r="J593"/>
      <c r="K593"/>
      <c r="L593" s="38"/>
      <c r="M593"/>
      <c r="N593" s="35"/>
      <c r="O593"/>
      <c r="P593"/>
      <c r="Q593"/>
      <c r="R593"/>
      <c r="S593"/>
      <c r="T593"/>
    </row>
    <row r="594" spans="8:20">
      <c r="H594"/>
      <c r="I594"/>
      <c r="J594"/>
      <c r="K594"/>
      <c r="L594" s="38"/>
      <c r="M594"/>
      <c r="N594" s="35"/>
      <c r="O594"/>
      <c r="P594"/>
      <c r="Q594"/>
      <c r="R594"/>
      <c r="S594"/>
      <c r="T594"/>
    </row>
    <row r="595" spans="8:20">
      <c r="H595"/>
      <c r="I595"/>
      <c r="J595"/>
      <c r="K595"/>
      <c r="L595" s="38"/>
      <c r="M595"/>
      <c r="N595" s="35"/>
      <c r="O595"/>
      <c r="P595"/>
      <c r="Q595"/>
      <c r="R595"/>
      <c r="S595"/>
      <c r="T595"/>
    </row>
    <row r="596" spans="8:20">
      <c r="H596"/>
      <c r="I596"/>
      <c r="J596"/>
      <c r="K596"/>
      <c r="L596" s="38"/>
      <c r="M596"/>
      <c r="N596" s="35"/>
      <c r="O596"/>
      <c r="P596"/>
      <c r="Q596"/>
      <c r="R596"/>
      <c r="S596"/>
      <c r="T596"/>
    </row>
    <row r="597" spans="8:20">
      <c r="H597"/>
      <c r="I597"/>
      <c r="J597"/>
      <c r="K597"/>
      <c r="L597" s="38"/>
      <c r="M597"/>
      <c r="N597" s="35"/>
      <c r="O597"/>
      <c r="P597"/>
      <c r="Q597"/>
      <c r="R597"/>
      <c r="S597"/>
      <c r="T597"/>
    </row>
    <row r="598" spans="8:20">
      <c r="H598"/>
      <c r="I598"/>
      <c r="J598"/>
      <c r="K598"/>
      <c r="L598" s="38"/>
      <c r="M598"/>
      <c r="N598" s="35"/>
      <c r="O598"/>
      <c r="P598"/>
      <c r="Q598"/>
      <c r="R598"/>
      <c r="S598"/>
      <c r="T598"/>
    </row>
    <row r="599" spans="8:20">
      <c r="H599"/>
      <c r="I599"/>
      <c r="J599"/>
      <c r="K599"/>
      <c r="L599" s="38"/>
      <c r="M599"/>
      <c r="N599" s="35"/>
      <c r="O599"/>
      <c r="P599"/>
      <c r="Q599"/>
      <c r="R599"/>
      <c r="S599"/>
      <c r="T599"/>
    </row>
    <row r="600" spans="8:20">
      <c r="H600"/>
      <c r="I600"/>
      <c r="J600"/>
      <c r="K600"/>
      <c r="L600" s="38"/>
      <c r="M600"/>
      <c r="N600" s="35"/>
      <c r="O600"/>
      <c r="P600"/>
      <c r="Q600"/>
      <c r="R600"/>
      <c r="S600"/>
      <c r="T600"/>
    </row>
    <row r="601" spans="8:20">
      <c r="H601"/>
      <c r="I601"/>
      <c r="J601"/>
      <c r="K601"/>
      <c r="L601" s="38"/>
      <c r="M601"/>
      <c r="N601" s="35"/>
      <c r="O601"/>
      <c r="P601"/>
      <c r="Q601"/>
      <c r="R601"/>
      <c r="S601"/>
      <c r="T601"/>
    </row>
    <row r="602" spans="8:20">
      <c r="H602"/>
      <c r="I602"/>
      <c r="J602"/>
      <c r="K602"/>
      <c r="L602" s="38"/>
      <c r="M602"/>
      <c r="N602" s="35"/>
      <c r="O602"/>
      <c r="P602"/>
      <c r="Q602"/>
      <c r="R602"/>
      <c r="S602"/>
      <c r="T602"/>
    </row>
    <row r="603" spans="8:20">
      <c r="H603"/>
      <c r="I603"/>
      <c r="J603"/>
      <c r="K603"/>
      <c r="L603" s="38"/>
      <c r="M603"/>
      <c r="N603" s="35"/>
      <c r="O603"/>
      <c r="P603"/>
      <c r="Q603"/>
      <c r="R603"/>
      <c r="S603"/>
      <c r="T603"/>
    </row>
    <row r="604" spans="8:20">
      <c r="H604"/>
      <c r="I604"/>
      <c r="J604"/>
      <c r="K604"/>
      <c r="L604" s="38"/>
      <c r="M604"/>
      <c r="N604" s="35"/>
      <c r="O604"/>
      <c r="P604"/>
      <c r="Q604"/>
      <c r="R604"/>
      <c r="S604"/>
      <c r="T604"/>
    </row>
    <row r="605" spans="8:20">
      <c r="H605"/>
      <c r="I605"/>
      <c r="J605"/>
      <c r="K605"/>
      <c r="L605" s="38"/>
      <c r="M605"/>
      <c r="N605" s="35"/>
      <c r="O605"/>
      <c r="P605"/>
      <c r="Q605"/>
      <c r="R605"/>
      <c r="S605"/>
      <c r="T605"/>
    </row>
    <row r="606" spans="8:20">
      <c r="H606"/>
      <c r="I606"/>
      <c r="J606"/>
      <c r="K606"/>
      <c r="L606" s="38"/>
      <c r="M606"/>
      <c r="N606" s="35"/>
      <c r="O606"/>
      <c r="P606"/>
      <c r="Q606"/>
      <c r="R606"/>
      <c r="S606"/>
      <c r="T606"/>
    </row>
    <row r="607" spans="8:20">
      <c r="H607"/>
      <c r="I607"/>
      <c r="J607"/>
      <c r="K607"/>
      <c r="L607" s="38"/>
      <c r="M607"/>
      <c r="N607" s="35"/>
      <c r="O607"/>
      <c r="P607"/>
      <c r="Q607"/>
      <c r="R607"/>
      <c r="S607"/>
      <c r="T607"/>
    </row>
    <row r="608" spans="8:20">
      <c r="H608"/>
      <c r="I608"/>
      <c r="J608"/>
      <c r="K608"/>
      <c r="L608" s="38"/>
      <c r="M608"/>
      <c r="N608" s="35"/>
      <c r="O608"/>
      <c r="P608"/>
      <c r="Q608"/>
      <c r="R608"/>
      <c r="S608"/>
      <c r="T608"/>
    </row>
    <row r="609" spans="8:20">
      <c r="H609"/>
      <c r="I609"/>
      <c r="J609"/>
      <c r="K609"/>
      <c r="L609" s="38"/>
      <c r="M609"/>
      <c r="N609" s="35"/>
      <c r="O609"/>
      <c r="P609"/>
      <c r="Q609"/>
      <c r="R609"/>
      <c r="S609"/>
      <c r="T609"/>
    </row>
    <row r="610" spans="8:20">
      <c r="H610"/>
      <c r="I610"/>
      <c r="J610"/>
      <c r="K610"/>
      <c r="L610" s="38"/>
      <c r="M610"/>
      <c r="N610" s="35"/>
      <c r="O610"/>
      <c r="P610"/>
      <c r="Q610"/>
      <c r="R610"/>
      <c r="S610"/>
      <c r="T610"/>
    </row>
    <row r="611" spans="8:20">
      <c r="H611"/>
      <c r="I611"/>
      <c r="J611"/>
      <c r="K611"/>
      <c r="L611" s="38"/>
      <c r="M611"/>
      <c r="N611" s="35"/>
      <c r="O611"/>
      <c r="P611"/>
      <c r="Q611"/>
      <c r="R611"/>
      <c r="S611"/>
      <c r="T611"/>
    </row>
    <row r="612" spans="8:20">
      <c r="H612"/>
      <c r="I612"/>
      <c r="J612"/>
      <c r="K612"/>
      <c r="L612" s="38"/>
      <c r="M612"/>
      <c r="N612" s="35"/>
      <c r="O612"/>
      <c r="P612"/>
      <c r="Q612"/>
      <c r="R612"/>
      <c r="S612"/>
      <c r="T612"/>
    </row>
    <row r="613" spans="8:20">
      <c r="H613"/>
      <c r="I613"/>
      <c r="J613"/>
      <c r="K613"/>
      <c r="L613" s="38"/>
      <c r="M613"/>
      <c r="N613" s="35"/>
      <c r="O613"/>
      <c r="P613"/>
      <c r="Q613"/>
      <c r="R613"/>
      <c r="S613"/>
      <c r="T613"/>
    </row>
    <row r="614" spans="8:20">
      <c r="H614"/>
      <c r="I614"/>
      <c r="J614"/>
      <c r="K614"/>
      <c r="L614" s="38"/>
      <c r="M614"/>
      <c r="N614" s="35"/>
      <c r="O614"/>
      <c r="P614"/>
      <c r="Q614"/>
      <c r="R614"/>
      <c r="S614"/>
      <c r="T614"/>
    </row>
    <row r="615" spans="8:20">
      <c r="H615"/>
      <c r="I615"/>
      <c r="J615"/>
      <c r="K615"/>
      <c r="L615" s="38"/>
      <c r="M615"/>
      <c r="N615" s="35"/>
      <c r="O615"/>
      <c r="P615"/>
      <c r="Q615"/>
      <c r="R615"/>
      <c r="S615"/>
      <c r="T615"/>
    </row>
    <row r="616" spans="8:20">
      <c r="H616"/>
      <c r="I616"/>
      <c r="J616"/>
      <c r="K616"/>
      <c r="L616" s="38"/>
      <c r="M616"/>
      <c r="N616" s="35"/>
      <c r="O616"/>
      <c r="P616"/>
      <c r="Q616"/>
      <c r="R616"/>
      <c r="S616"/>
      <c r="T616"/>
    </row>
    <row r="617" spans="8:20">
      <c r="H617"/>
      <c r="I617"/>
      <c r="J617"/>
      <c r="K617"/>
      <c r="L617" s="38"/>
      <c r="M617"/>
      <c r="N617" s="35"/>
      <c r="O617"/>
      <c r="P617"/>
      <c r="Q617"/>
      <c r="R617"/>
      <c r="S617"/>
      <c r="T617"/>
    </row>
    <row r="618" spans="8:20">
      <c r="H618"/>
      <c r="I618"/>
      <c r="J618"/>
      <c r="K618"/>
      <c r="L618" s="38"/>
      <c r="M618"/>
      <c r="N618" s="35"/>
      <c r="O618"/>
      <c r="P618"/>
      <c r="Q618"/>
      <c r="R618"/>
      <c r="S618"/>
      <c r="T618"/>
    </row>
    <row r="619" spans="8:20">
      <c r="H619"/>
      <c r="I619"/>
      <c r="J619"/>
      <c r="K619"/>
      <c r="L619" s="38"/>
      <c r="M619"/>
      <c r="N619" s="35"/>
      <c r="O619"/>
      <c r="P619"/>
      <c r="Q619"/>
      <c r="R619"/>
      <c r="S619"/>
      <c r="T619"/>
    </row>
    <row r="620" spans="8:20">
      <c r="H620"/>
      <c r="I620"/>
      <c r="J620"/>
      <c r="K620"/>
      <c r="L620" s="38"/>
      <c r="M620"/>
      <c r="N620" s="35"/>
      <c r="O620"/>
      <c r="P620"/>
      <c r="Q620"/>
      <c r="R620"/>
      <c r="S620"/>
      <c r="T620"/>
    </row>
    <row r="621" spans="8:20">
      <c r="H621"/>
      <c r="I621"/>
      <c r="J621"/>
      <c r="K621"/>
      <c r="L621" s="38"/>
      <c r="M621"/>
      <c r="N621" s="35"/>
      <c r="O621"/>
      <c r="P621"/>
      <c r="Q621"/>
      <c r="R621"/>
      <c r="S621"/>
      <c r="T621"/>
    </row>
    <row r="622" spans="8:20">
      <c r="H622"/>
      <c r="I622"/>
      <c r="J622"/>
      <c r="K622"/>
      <c r="L622" s="38"/>
      <c r="M622"/>
      <c r="N622" s="35"/>
      <c r="O622"/>
      <c r="P622"/>
      <c r="Q622"/>
      <c r="R622"/>
      <c r="S622"/>
      <c r="T622"/>
    </row>
    <row r="623" spans="8:20">
      <c r="H623"/>
      <c r="I623"/>
      <c r="J623"/>
      <c r="K623"/>
      <c r="L623" s="38"/>
      <c r="M623"/>
      <c r="N623" s="35"/>
      <c r="O623"/>
      <c r="P623"/>
      <c r="Q623"/>
      <c r="R623"/>
      <c r="S623"/>
      <c r="T623"/>
    </row>
    <row r="624" spans="8:20">
      <c r="H624"/>
      <c r="I624"/>
      <c r="J624"/>
      <c r="K624"/>
      <c r="L624" s="38"/>
      <c r="M624"/>
      <c r="N624" s="35"/>
      <c r="O624"/>
      <c r="P624"/>
      <c r="Q624"/>
      <c r="R624"/>
      <c r="S624"/>
      <c r="T624"/>
    </row>
  </sheetData>
  <conditionalFormatting sqref="L1:L6 L564:L1048576">
    <cfRule type="cellIs" dxfId="8" priority="3" operator="between">
      <formula>0.012</formula>
      <formula>500</formula>
    </cfRule>
  </conditionalFormatting>
  <conditionalFormatting pivot="1" sqref="P7:P24">
    <cfRule type="cellIs" dxfId="7" priority="2" operator="between">
      <formula>0.002</formula>
      <formula>500</formula>
    </cfRule>
  </conditionalFormatting>
  <conditionalFormatting pivot="1" sqref="N7:N24">
    <cfRule type="cellIs" dxfId="6" priority="1" operator="between">
      <formula>0.017</formula>
      <formula>100</formula>
    </cfRule>
  </conditionalFormatting>
  <pageMargins left="0.7" right="0.7" top="0.75" bottom="0.75" header="0.3" footer="0.3"/>
  <pageSetup scale="6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0BE2-7A78-402A-B460-BDEB4134F35F}">
  <dimension ref="A1:V50"/>
  <sheetViews>
    <sheetView rightToLeft="1" workbookViewId="0">
      <selection sqref="A1:N21"/>
    </sheetView>
  </sheetViews>
  <sheetFormatPr defaultRowHeight="14.4"/>
  <cols>
    <col min="1" max="1" width="15.6640625" bestFit="1" customWidth="1"/>
    <col min="2" max="2" width="11.6640625" customWidth="1"/>
    <col min="3" max="3" width="27.88671875" bestFit="1" customWidth="1"/>
    <col min="4" max="4" width="10" bestFit="1" customWidth="1"/>
    <col min="5" max="5" width="14.33203125" bestFit="1" customWidth="1"/>
    <col min="6" max="6" width="11.5546875" style="17" bestFit="1" customWidth="1"/>
    <col min="7" max="7" width="9.5546875" customWidth="1"/>
    <col min="8" max="8" width="27.88671875" bestFit="1" customWidth="1"/>
    <col min="9" max="9" width="8.5546875" bestFit="1" customWidth="1"/>
    <col min="10" max="10" width="8.88671875" bestFit="1" customWidth="1"/>
    <col min="11" max="11" width="10.5546875" style="17" bestFit="1" customWidth="1"/>
    <col min="12" max="12" width="8.88671875" bestFit="1" customWidth="1"/>
    <col min="13" max="13" width="9.109375"/>
    <col min="14" max="14" width="11" bestFit="1" customWidth="1"/>
    <col min="15" max="17" width="9.109375"/>
    <col min="21" max="21" width="15.6640625" bestFit="1" customWidth="1"/>
    <col min="22" max="22" width="18.5546875" style="54" bestFit="1" customWidth="1"/>
    <col min="23" max="23" width="8.88671875" bestFit="1" customWidth="1"/>
    <col min="24" max="24" width="11.33203125" bestFit="1" customWidth="1"/>
  </cols>
  <sheetData>
    <row r="1" spans="1:17" ht="24" thickBot="1">
      <c r="A1" s="80" t="s">
        <v>376</v>
      </c>
      <c r="B1" s="81"/>
      <c r="C1" s="81"/>
      <c r="D1" s="81"/>
      <c r="E1" s="81"/>
      <c r="F1" s="81"/>
      <c r="G1" s="82" t="s">
        <v>377</v>
      </c>
      <c r="H1" s="81"/>
      <c r="I1" s="81"/>
      <c r="J1" s="81"/>
      <c r="K1" s="81"/>
      <c r="L1" s="81"/>
      <c r="M1" s="81"/>
      <c r="N1" s="83"/>
      <c r="O1" t="s">
        <v>374</v>
      </c>
    </row>
    <row r="2" spans="1:17" ht="29.4" thickBot="1">
      <c r="A2" s="39" t="s">
        <v>53</v>
      </c>
      <c r="B2" s="40" t="s">
        <v>5</v>
      </c>
      <c r="C2" s="40" t="s">
        <v>3</v>
      </c>
      <c r="D2" s="40" t="s">
        <v>378</v>
      </c>
      <c r="E2" s="40" t="s">
        <v>379</v>
      </c>
      <c r="F2" s="40" t="s">
        <v>380</v>
      </c>
      <c r="G2" s="40" t="s">
        <v>343</v>
      </c>
      <c r="H2" s="40" t="s">
        <v>344</v>
      </c>
      <c r="I2" s="40" t="s">
        <v>381</v>
      </c>
      <c r="J2" s="40" t="s">
        <v>382</v>
      </c>
      <c r="K2" s="40" t="s">
        <v>383</v>
      </c>
      <c r="L2" s="41" t="s">
        <v>115</v>
      </c>
      <c r="M2" s="41" t="s">
        <v>345</v>
      </c>
      <c r="N2" s="41" t="s">
        <v>346</v>
      </c>
      <c r="O2" s="32"/>
      <c r="P2" s="32"/>
      <c r="Q2" s="32"/>
    </row>
    <row r="3" spans="1:17" ht="15" thickBot="1">
      <c r="A3" s="42" t="str">
        <f>_xlfn.XLOOKUP(Table2[[#This Row],[کد فروشگاه]],'[1]شعب فعال'!$C:$C,'[1]شعب فعال'!$F:$F,"*",0)</f>
        <v xml:space="preserve">فیاض رحیم زاده </v>
      </c>
      <c r="B3" s="43" t="s">
        <v>150</v>
      </c>
      <c r="C3" s="43" t="s">
        <v>159</v>
      </c>
      <c r="D3" s="44">
        <v>2.01E-2</v>
      </c>
      <c r="E3" s="44">
        <v>0</v>
      </c>
      <c r="F3" s="46">
        <v>3.0000000000000001E-3</v>
      </c>
      <c r="G3" s="43" t="s">
        <v>150</v>
      </c>
      <c r="H3" s="43" t="s">
        <v>159</v>
      </c>
      <c r="I3" s="44">
        <v>3.0700000000000002E-2</v>
      </c>
      <c r="J3" s="44">
        <v>0</v>
      </c>
      <c r="K3" s="71">
        <v>2.0999999999999999E-3</v>
      </c>
      <c r="L3" s="47" t="str">
        <f t="shared" ref="L3:L21" si="0">IF(I3 &gt; D3, "افزایشی", IF(D3 &lt; I3, "کاهشی", "بدون تغییر"))</f>
        <v>افزایشی</v>
      </c>
      <c r="M3" s="47" t="str">
        <f t="shared" ref="M3:M21" si="1">IF(J3 &gt; E3, "افزایشی", IF(E3 &lt; J3, "کاهشی", "بدون تغییر"))</f>
        <v>بدون تغییر</v>
      </c>
      <c r="N3" s="47" t="str">
        <f t="shared" ref="N3:N21" si="2">IF(K3 &gt; F3, "افزایشی", IF(F3 &lt; K3, "کاهشی", "بدون تغییر"))</f>
        <v>بدون تغییر</v>
      </c>
    </row>
    <row r="4" spans="1:17" ht="15" thickBot="1">
      <c r="A4" s="42" t="str">
        <f>_xlfn.XLOOKUP(Table2[[#This Row],[کد فروشگاه]],'[1]شعب فعال'!$C:$C,'[1]شعب فعال'!$F:$F,"*",0)</f>
        <v>سامان بسطامی</v>
      </c>
      <c r="B4" s="43" t="s">
        <v>93</v>
      </c>
      <c r="C4" s="43" t="s">
        <v>92</v>
      </c>
      <c r="D4" s="44">
        <v>8.8000000000000005E-3</v>
      </c>
      <c r="E4" s="44">
        <v>0</v>
      </c>
      <c r="F4" s="46">
        <v>7.1999999999999998E-3</v>
      </c>
      <c r="G4" s="43" t="s">
        <v>93</v>
      </c>
      <c r="H4" s="43" t="s">
        <v>92</v>
      </c>
      <c r="I4" s="44">
        <v>1.26E-2</v>
      </c>
      <c r="J4" s="44">
        <v>0</v>
      </c>
      <c r="K4" s="71">
        <v>1.8E-3</v>
      </c>
      <c r="L4" s="47" t="str">
        <f t="shared" si="0"/>
        <v>افزایشی</v>
      </c>
      <c r="M4" s="47" t="str">
        <f t="shared" si="1"/>
        <v>بدون تغییر</v>
      </c>
      <c r="N4" s="47" t="str">
        <f t="shared" si="2"/>
        <v>بدون تغییر</v>
      </c>
    </row>
    <row r="5" spans="1:17" ht="15" thickBot="1">
      <c r="A5" s="42" t="str">
        <f>_xlfn.XLOOKUP(Table2[[#This Row],[کد فروشگاه]],'[1]شعب فعال'!$C:$C,'[1]شعب فعال'!$F:$F,"*",0)</f>
        <v>علی ابراهیمی نیا</v>
      </c>
      <c r="B5" s="43" t="s">
        <v>88</v>
      </c>
      <c r="C5" s="43" t="s">
        <v>87</v>
      </c>
      <c r="D5" s="44">
        <v>2.8E-3</v>
      </c>
      <c r="E5" s="44">
        <v>0</v>
      </c>
      <c r="F5" s="46">
        <v>6.3E-3</v>
      </c>
      <c r="G5" s="43" t="s">
        <v>88</v>
      </c>
      <c r="H5" s="43" t="s">
        <v>87</v>
      </c>
      <c r="I5" s="44">
        <v>2.1299999999999999E-2</v>
      </c>
      <c r="J5" s="44">
        <v>0</v>
      </c>
      <c r="K5" s="71">
        <v>7.3000000000000001E-3</v>
      </c>
      <c r="L5" s="47" t="str">
        <f t="shared" si="0"/>
        <v>افزایشی</v>
      </c>
      <c r="M5" s="47" t="str">
        <f t="shared" si="1"/>
        <v>بدون تغییر</v>
      </c>
      <c r="N5" s="47" t="str">
        <f t="shared" si="2"/>
        <v>افزایشی</v>
      </c>
    </row>
    <row r="6" spans="1:17" ht="15" thickBot="1">
      <c r="A6" s="42" t="str">
        <f>_xlfn.XLOOKUP(Table2[[#This Row],[کد فروشگاه]],'[1]شعب فعال'!$C:$C,'[1]شعب فعال'!$F:$F,"*",0)</f>
        <v>مصطفی سیفی</v>
      </c>
      <c r="B6" s="48" t="s">
        <v>91</v>
      </c>
      <c r="C6" s="48" t="s">
        <v>90</v>
      </c>
      <c r="D6" s="49">
        <v>3.8999999999999998E-3</v>
      </c>
      <c r="E6" s="49">
        <v>1.2999999999999999E-3</v>
      </c>
      <c r="F6" s="50">
        <v>0</v>
      </c>
      <c r="G6" s="48" t="s">
        <v>91</v>
      </c>
      <c r="H6" s="48" t="s">
        <v>90</v>
      </c>
      <c r="I6" s="49">
        <v>2.93E-2</v>
      </c>
      <c r="J6" s="49">
        <v>1E-3</v>
      </c>
      <c r="K6" s="72">
        <v>7.1999999999999998E-3</v>
      </c>
      <c r="L6" s="47" t="str">
        <f t="shared" si="0"/>
        <v>افزایشی</v>
      </c>
      <c r="M6" s="47" t="str">
        <f t="shared" si="1"/>
        <v>بدون تغییر</v>
      </c>
      <c r="N6" s="47" t="str">
        <f t="shared" si="2"/>
        <v>افزایشی</v>
      </c>
    </row>
    <row r="7" spans="1:17" ht="15" thickBot="1">
      <c r="A7" s="42" t="str">
        <f>_xlfn.XLOOKUP(Table2[[#This Row],[کد فروشگاه]],'[1]شعب فعال'!$C:$C,'[1]شعب فعال'!$F:$F,"*",0)</f>
        <v>مرتضی رضایی</v>
      </c>
      <c r="B7" s="43" t="s">
        <v>76</v>
      </c>
      <c r="C7" s="43" t="s">
        <v>75</v>
      </c>
      <c r="D7" s="44">
        <v>5.7999999999999996E-3</v>
      </c>
      <c r="E7" s="44">
        <v>1.7399999999999999E-2</v>
      </c>
      <c r="F7" s="46">
        <v>0</v>
      </c>
      <c r="G7" s="43" t="s">
        <v>76</v>
      </c>
      <c r="H7" s="43" t="s">
        <v>75</v>
      </c>
      <c r="I7" s="44">
        <v>3.5200000000000002E-2</v>
      </c>
      <c r="J7" s="44">
        <v>3.1099999999999999E-2</v>
      </c>
      <c r="K7" s="71">
        <v>0</v>
      </c>
      <c r="L7" s="47" t="str">
        <f t="shared" si="0"/>
        <v>افزایشی</v>
      </c>
      <c r="M7" s="47" t="str">
        <f t="shared" si="1"/>
        <v>افزایشی</v>
      </c>
      <c r="N7" s="47" t="str">
        <f t="shared" si="2"/>
        <v>بدون تغییر</v>
      </c>
    </row>
    <row r="8" spans="1:17" ht="15" thickBot="1">
      <c r="A8" s="42" t="str">
        <f>_xlfn.XLOOKUP(Table2[[#This Row],[کد فروشگاه]],'[1]شعب فعال'!$C:$C,'[1]شعب فعال'!$F:$F,"*",0)</f>
        <v>محمد کاظم بستامی</v>
      </c>
      <c r="B8" s="43" t="s">
        <v>82</v>
      </c>
      <c r="C8" s="43" t="s">
        <v>81</v>
      </c>
      <c r="D8" s="44">
        <v>0</v>
      </c>
      <c r="E8" s="44">
        <v>3.5000000000000001E-3</v>
      </c>
      <c r="F8" s="46">
        <v>3.7000000000000002E-3</v>
      </c>
      <c r="G8" s="43" t="s">
        <v>82</v>
      </c>
      <c r="H8" s="43" t="s">
        <v>81</v>
      </c>
      <c r="I8" s="44">
        <v>1.32E-2</v>
      </c>
      <c r="J8" s="44">
        <v>0</v>
      </c>
      <c r="K8" s="71">
        <v>7.4000000000000003E-3</v>
      </c>
      <c r="L8" s="47" t="str">
        <f t="shared" si="0"/>
        <v>افزایشی</v>
      </c>
      <c r="M8" s="47" t="str">
        <f>IF(J8 &gt; E8, "افزایشی", IF(E8 &lt; J8, "کاهشی", "بدون تغییر"))</f>
        <v>بدون تغییر</v>
      </c>
      <c r="N8" s="47" t="str">
        <f t="shared" si="2"/>
        <v>افزایشی</v>
      </c>
    </row>
    <row r="9" spans="1:17" ht="15" thickBot="1">
      <c r="A9" s="42" t="str">
        <f>_xlfn.XLOOKUP(Table2[[#This Row],[کد فروشگاه]],'[1]شعب فعال'!$C:$C,'[1]شعب فعال'!$F:$F,"*",0)</f>
        <v>جواد رستمی</v>
      </c>
      <c r="B9" s="43" t="s">
        <v>148</v>
      </c>
      <c r="C9" s="43" t="s">
        <v>160</v>
      </c>
      <c r="D9" s="44">
        <v>7.9000000000000008E-3</v>
      </c>
      <c r="E9" s="44">
        <v>2.5999999999999999E-3</v>
      </c>
      <c r="F9" s="46">
        <v>2.7000000000000001E-3</v>
      </c>
      <c r="G9" s="43" t="s">
        <v>148</v>
      </c>
      <c r="H9" s="43" t="s">
        <v>160</v>
      </c>
      <c r="I9" s="44">
        <v>1.95E-2</v>
      </c>
      <c r="J9" s="44">
        <v>0</v>
      </c>
      <c r="K9" s="71">
        <v>0</v>
      </c>
      <c r="L9" s="47" t="str">
        <f t="shared" si="0"/>
        <v>افزایشی</v>
      </c>
      <c r="M9" s="47" t="str">
        <f t="shared" si="1"/>
        <v>بدون تغییر</v>
      </c>
      <c r="N9" s="47" t="str">
        <f t="shared" si="2"/>
        <v>بدون تغییر</v>
      </c>
    </row>
    <row r="10" spans="1:17" ht="15" thickBot="1">
      <c r="A10" s="42" t="str">
        <f>_xlfn.XLOOKUP(Table2[[#This Row],[کد فروشگاه]],'[1]شعب فعال'!$C:$C,'[1]شعب فعال'!$F:$F,"*",0)</f>
        <v xml:space="preserve">میثم جلالوند </v>
      </c>
      <c r="B10" s="51" t="s">
        <v>98</v>
      </c>
      <c r="C10" s="51" t="s">
        <v>97</v>
      </c>
      <c r="D10" s="52">
        <v>1.6E-2</v>
      </c>
      <c r="E10" s="52">
        <v>0</v>
      </c>
      <c r="F10" s="53">
        <v>0</v>
      </c>
      <c r="G10" s="73" t="s">
        <v>98</v>
      </c>
      <c r="H10" s="73" t="s">
        <v>97</v>
      </c>
      <c r="I10" s="74">
        <v>1.3299999999999999E-2</v>
      </c>
      <c r="J10" s="74">
        <v>0</v>
      </c>
      <c r="K10" s="75">
        <v>3.3999999999999998E-3</v>
      </c>
      <c r="L10" s="47" t="str">
        <f t="shared" si="0"/>
        <v>بدون تغییر</v>
      </c>
      <c r="M10" s="47" t="str">
        <f t="shared" si="1"/>
        <v>بدون تغییر</v>
      </c>
      <c r="N10" s="47" t="str">
        <f t="shared" si="2"/>
        <v>افزایشی</v>
      </c>
    </row>
    <row r="11" spans="1:17" ht="15" thickBot="1">
      <c r="A11" s="42" t="str">
        <f>_xlfn.XLOOKUP(Table2[[#This Row],[کد فروشگاه]],'[1]شعب فعال'!$C:$C,'[1]شعب فعال'!$F:$F,"*",0)</f>
        <v>مصطفی سیفی</v>
      </c>
      <c r="B11" s="43" t="s">
        <v>67</v>
      </c>
      <c r="C11" s="43" t="s">
        <v>66</v>
      </c>
      <c r="D11" s="44">
        <v>9.4999999999999998E-3</v>
      </c>
      <c r="E11" s="44">
        <v>0</v>
      </c>
      <c r="F11" s="46">
        <v>0</v>
      </c>
      <c r="G11" s="43" t="s">
        <v>67</v>
      </c>
      <c r="H11" s="43" t="s">
        <v>66</v>
      </c>
      <c r="I11" s="44">
        <v>4.2999999999999997E-2</v>
      </c>
      <c r="J11" s="44">
        <v>0</v>
      </c>
      <c r="K11" s="71">
        <v>1.11E-2</v>
      </c>
      <c r="L11" s="47" t="str">
        <f t="shared" si="0"/>
        <v>افزایشی</v>
      </c>
      <c r="M11" s="47" t="str">
        <f t="shared" si="1"/>
        <v>بدون تغییر</v>
      </c>
      <c r="N11" s="47" t="str">
        <f t="shared" si="2"/>
        <v>افزایشی</v>
      </c>
    </row>
    <row r="12" spans="1:17" ht="15" thickBot="1">
      <c r="A12" s="42" t="str">
        <f>_xlfn.XLOOKUP(Table2[[#This Row],[کد فروشگاه]],'[1]شعب فعال'!$C:$C,'[1]شعب فعال'!$F:$F,"*",0)</f>
        <v>محسن ملکی</v>
      </c>
      <c r="B12" s="43" t="s">
        <v>62</v>
      </c>
      <c r="C12" s="43" t="s">
        <v>61</v>
      </c>
      <c r="D12" s="44">
        <v>1.3100000000000001E-2</v>
      </c>
      <c r="E12" s="44">
        <v>0</v>
      </c>
      <c r="F12" s="46">
        <v>0</v>
      </c>
      <c r="G12" s="43" t="s">
        <v>62</v>
      </c>
      <c r="H12" s="43" t="s">
        <v>61</v>
      </c>
      <c r="I12" s="44">
        <v>2.4500000000000001E-2</v>
      </c>
      <c r="J12" s="44">
        <v>0</v>
      </c>
      <c r="K12" s="71">
        <v>5.1999999999999998E-3</v>
      </c>
      <c r="L12" s="47" t="str">
        <f t="shared" si="0"/>
        <v>افزایشی</v>
      </c>
      <c r="M12" s="47" t="str">
        <f t="shared" si="1"/>
        <v>بدون تغییر</v>
      </c>
      <c r="N12" s="47" t="str">
        <f t="shared" si="2"/>
        <v>افزایشی</v>
      </c>
    </row>
    <row r="13" spans="1:17" ht="15" thickBot="1">
      <c r="A13" s="42" t="str">
        <f>_xlfn.XLOOKUP(Table2[[#This Row],[کد فروشگاه]],'[1]شعب فعال'!$C:$C,'[1]شعب فعال'!$F:$F,"*",0)</f>
        <v>مرتضی رضایی</v>
      </c>
      <c r="B13" s="43" t="s">
        <v>80</v>
      </c>
      <c r="C13" s="43" t="s">
        <v>79</v>
      </c>
      <c r="D13" s="44">
        <v>9.7000000000000003E-3</v>
      </c>
      <c r="E13" s="44">
        <v>0</v>
      </c>
      <c r="F13" s="46">
        <v>3.3999999999999998E-3</v>
      </c>
      <c r="G13" s="43" t="s">
        <v>80</v>
      </c>
      <c r="H13" s="43" t="s">
        <v>79</v>
      </c>
      <c r="I13" s="44">
        <v>2.52E-2</v>
      </c>
      <c r="J13" s="44">
        <v>0</v>
      </c>
      <c r="K13" s="71">
        <v>2.8999999999999998E-3</v>
      </c>
      <c r="L13" s="47" t="str">
        <f t="shared" si="0"/>
        <v>افزایشی</v>
      </c>
      <c r="M13" s="47" t="str">
        <f t="shared" si="1"/>
        <v>بدون تغییر</v>
      </c>
      <c r="N13" s="47" t="str">
        <f t="shared" si="2"/>
        <v>بدون تغییر</v>
      </c>
    </row>
    <row r="14" spans="1:17" ht="15" thickBot="1">
      <c r="A14" s="42" t="str">
        <f>_xlfn.XLOOKUP(Table2[[#This Row],[کد فروشگاه]],'[1]شعب فعال'!$C:$C,'[1]شعب فعال'!$F:$F,"*",0)</f>
        <v>محسن ملکی</v>
      </c>
      <c r="B14" s="43" t="s">
        <v>86</v>
      </c>
      <c r="C14" s="43" t="s">
        <v>85</v>
      </c>
      <c r="D14" s="44">
        <v>3.2000000000000002E-3</v>
      </c>
      <c r="E14" s="44">
        <v>0</v>
      </c>
      <c r="F14" s="46">
        <v>6.8999999999999999E-3</v>
      </c>
      <c r="G14" s="43" t="s">
        <v>86</v>
      </c>
      <c r="H14" s="43" t="s">
        <v>85</v>
      </c>
      <c r="I14" s="44">
        <v>4.3700000000000003E-2</v>
      </c>
      <c r="J14" s="44">
        <v>0</v>
      </c>
      <c r="K14" s="71">
        <v>5.1000000000000004E-3</v>
      </c>
      <c r="L14" s="47" t="str">
        <f t="shared" si="0"/>
        <v>افزایشی</v>
      </c>
      <c r="M14" s="47" t="str">
        <f t="shared" si="1"/>
        <v>بدون تغییر</v>
      </c>
      <c r="N14" s="47" t="str">
        <f t="shared" si="2"/>
        <v>بدون تغییر</v>
      </c>
    </row>
    <row r="15" spans="1:17" ht="15" thickBot="1">
      <c r="A15" s="42" t="str">
        <f>_xlfn.XLOOKUP(Table2[[#This Row],[کد فروشگاه]],'[1]شعب فعال'!$C:$C,'[1]شعب فعال'!$F:$F,"*",0)</f>
        <v>جواد رستمی</v>
      </c>
      <c r="B15" s="43" t="s">
        <v>149</v>
      </c>
      <c r="C15" s="43" t="s">
        <v>152</v>
      </c>
      <c r="D15" s="44">
        <v>2.7300000000000001E-2</v>
      </c>
      <c r="E15" s="44">
        <v>0</v>
      </c>
      <c r="F15" s="46">
        <v>0</v>
      </c>
      <c r="G15" s="43" t="s">
        <v>149</v>
      </c>
      <c r="H15" s="43" t="s">
        <v>152</v>
      </c>
      <c r="I15" s="44">
        <v>2.64E-2</v>
      </c>
      <c r="J15" s="44">
        <v>0</v>
      </c>
      <c r="K15" s="71">
        <v>0</v>
      </c>
      <c r="L15" s="47" t="str">
        <f t="shared" si="0"/>
        <v>بدون تغییر</v>
      </c>
      <c r="M15" s="47" t="str">
        <f t="shared" si="1"/>
        <v>بدون تغییر</v>
      </c>
      <c r="N15" s="47" t="str">
        <f t="shared" si="2"/>
        <v>بدون تغییر</v>
      </c>
    </row>
    <row r="16" spans="1:17" ht="15" thickBot="1">
      <c r="A16" s="42" t="str">
        <f>_xlfn.XLOOKUP(Table2[[#This Row],[کد فروشگاه]],'[1]شعب فعال'!$C:$C,'[1]شعب فعال'!$F:$F,"*",0)</f>
        <v xml:space="preserve">میثم جلالوند </v>
      </c>
      <c r="B16" s="43" t="s">
        <v>95</v>
      </c>
      <c r="C16" s="43" t="s">
        <v>94</v>
      </c>
      <c r="D16" s="44">
        <v>0</v>
      </c>
      <c r="E16" s="44">
        <v>0</v>
      </c>
      <c r="F16" s="46">
        <v>0</v>
      </c>
      <c r="G16" s="43" t="s">
        <v>95</v>
      </c>
      <c r="H16" s="43" t="s">
        <v>94</v>
      </c>
      <c r="I16" s="44">
        <v>5.4000000000000003E-3</v>
      </c>
      <c r="J16" s="44">
        <v>0</v>
      </c>
      <c r="K16" s="71">
        <v>7.1000000000000004E-3</v>
      </c>
      <c r="L16" s="47" t="str">
        <f t="shared" si="0"/>
        <v>افزایشی</v>
      </c>
      <c r="M16" s="47" t="str">
        <f t="shared" si="1"/>
        <v>بدون تغییر</v>
      </c>
      <c r="N16" s="47" t="str">
        <f t="shared" si="2"/>
        <v>افزایشی</v>
      </c>
    </row>
    <row r="17" spans="1:22" ht="15" thickBot="1">
      <c r="A17" s="42" t="str">
        <f>_xlfn.XLOOKUP(Table2[[#This Row],[کد فروشگاه]],'[1]شعب فعال'!$C:$C,'[1]شعب فعال'!$F:$F,"*",0)</f>
        <v>سامان بسطامی</v>
      </c>
      <c r="B17" s="43" t="s">
        <v>84</v>
      </c>
      <c r="C17" s="43" t="s">
        <v>83</v>
      </c>
      <c r="D17" s="44" t="s">
        <v>384</v>
      </c>
      <c r="E17" s="44" t="s">
        <v>384</v>
      </c>
      <c r="F17" s="45" t="s">
        <v>384</v>
      </c>
      <c r="G17" s="43" t="s">
        <v>84</v>
      </c>
      <c r="H17" s="43" t="s">
        <v>83</v>
      </c>
      <c r="I17" s="44">
        <v>0.23810000000000001</v>
      </c>
      <c r="J17" s="44">
        <v>1.5900000000000001E-2</v>
      </c>
      <c r="K17" s="71">
        <v>0</v>
      </c>
      <c r="L17" s="47" t="str">
        <f t="shared" si="0"/>
        <v>بدون تغییر</v>
      </c>
      <c r="M17" s="47" t="str">
        <f t="shared" si="1"/>
        <v>بدون تغییر</v>
      </c>
      <c r="N17" s="47" t="str">
        <f t="shared" si="2"/>
        <v>بدون تغییر</v>
      </c>
    </row>
    <row r="18" spans="1:22" ht="15" thickBot="1">
      <c r="A18" s="70" t="str">
        <f>_xlfn.XLOOKUP(Table2[[#This Row],[کد فروشگاه]],'[1]شعب فعال'!$C:$C,'[1]شعب فعال'!$F:$F,"*",0)</f>
        <v>محمد کاظم بستامی</v>
      </c>
      <c r="B18" s="43" t="s">
        <v>78</v>
      </c>
      <c r="C18" s="43" t="s">
        <v>77</v>
      </c>
      <c r="D18" s="44">
        <v>0</v>
      </c>
      <c r="E18" s="44">
        <v>0</v>
      </c>
      <c r="F18" s="46">
        <v>8.8999999999999999E-3</v>
      </c>
      <c r="G18" s="65" t="s">
        <v>78</v>
      </c>
      <c r="H18" s="65" t="s">
        <v>77</v>
      </c>
      <c r="I18" s="76">
        <v>5.9499999999999997E-2</v>
      </c>
      <c r="J18" s="77">
        <v>1.18E-2</v>
      </c>
      <c r="K18" s="78">
        <v>0</v>
      </c>
      <c r="L18" s="47" t="str">
        <f t="shared" si="0"/>
        <v>افزایشی</v>
      </c>
      <c r="M18" s="47" t="str">
        <f t="shared" si="1"/>
        <v>افزایشی</v>
      </c>
      <c r="N18" s="47" t="str">
        <f t="shared" si="2"/>
        <v>بدون تغییر</v>
      </c>
    </row>
    <row r="19" spans="1:22" ht="15" thickBot="1">
      <c r="A19" s="70" t="str">
        <f>_xlfn.XLOOKUP(Table2[[#This Row],[کد فروشگاه]],'[1]شعب فعال'!$C:$C,'[1]شعب فعال'!$F:$F,"*",0)</f>
        <v>محمد کاظم بستامی</v>
      </c>
      <c r="B19" s="43" t="s">
        <v>73</v>
      </c>
      <c r="C19" s="43" t="s">
        <v>72</v>
      </c>
      <c r="D19" s="44">
        <v>8.3000000000000001E-3</v>
      </c>
      <c r="E19" s="44">
        <v>1.66E-2</v>
      </c>
      <c r="F19" s="46">
        <v>0</v>
      </c>
      <c r="G19" s="65" t="s">
        <v>73</v>
      </c>
      <c r="H19" s="65" t="s">
        <v>72</v>
      </c>
      <c r="I19" s="76">
        <v>1.55E-2</v>
      </c>
      <c r="J19" s="77">
        <v>0</v>
      </c>
      <c r="K19" s="78">
        <v>1.0999999999999999E-2</v>
      </c>
      <c r="L19" s="47" t="str">
        <f t="shared" si="0"/>
        <v>افزایشی</v>
      </c>
      <c r="M19" s="47" t="str">
        <f t="shared" si="1"/>
        <v>بدون تغییر</v>
      </c>
      <c r="N19" s="47" t="str">
        <f t="shared" si="2"/>
        <v>افزایشی</v>
      </c>
    </row>
    <row r="20" spans="1:22" ht="15" thickBot="1">
      <c r="A20" s="70" t="str">
        <f>_xlfn.XLOOKUP(Table2[[#This Row],[کد فروشگاه]],'[1]شعب فعال'!$C:$C,'[1]شعب فعال'!$F:$F,"*",0)</f>
        <v>مرتضی رضایی</v>
      </c>
      <c r="B20" s="43" t="s">
        <v>70</v>
      </c>
      <c r="C20" s="43" t="s">
        <v>69</v>
      </c>
      <c r="D20" s="44">
        <v>0</v>
      </c>
      <c r="E20" s="44">
        <v>4.4000000000000003E-3</v>
      </c>
      <c r="F20" s="46">
        <v>1.01E-2</v>
      </c>
      <c r="G20" s="65" t="s">
        <v>70</v>
      </c>
      <c r="H20" s="65" t="s">
        <v>69</v>
      </c>
      <c r="I20" s="76">
        <v>1.01E-2</v>
      </c>
      <c r="J20" s="77">
        <v>0</v>
      </c>
      <c r="K20" s="78">
        <v>0</v>
      </c>
      <c r="L20" s="47" t="str">
        <f t="shared" si="0"/>
        <v>افزایشی</v>
      </c>
      <c r="M20" s="47" t="str">
        <f t="shared" si="1"/>
        <v>بدون تغییر</v>
      </c>
      <c r="N20" s="47" t="str">
        <f t="shared" si="2"/>
        <v>بدون تغییر</v>
      </c>
    </row>
    <row r="21" spans="1:22" ht="15" thickBot="1">
      <c r="A21" s="70" t="str">
        <f>_xlfn.XLOOKUP(Table2[[#This Row],[کد فروشگاه]],'[1]شعب فعال'!$C:$C,'[1]شعب فعال'!$F:$F,"*",0)</f>
        <v xml:space="preserve">فیاض رحیم زاده </v>
      </c>
      <c r="B21" s="43" t="s">
        <v>147</v>
      </c>
      <c r="C21" s="43" t="s">
        <v>161</v>
      </c>
      <c r="D21" s="44">
        <v>0</v>
      </c>
      <c r="E21" s="44">
        <v>0</v>
      </c>
      <c r="F21" s="46">
        <v>0</v>
      </c>
      <c r="G21" s="65" t="s">
        <v>147</v>
      </c>
      <c r="H21" s="65" t="s">
        <v>161</v>
      </c>
      <c r="I21" s="76">
        <v>6.1000000000000004E-3</v>
      </c>
      <c r="J21" s="77">
        <v>0</v>
      </c>
      <c r="K21" s="78">
        <v>6.3E-3</v>
      </c>
      <c r="L21" s="47" t="str">
        <f t="shared" si="0"/>
        <v>افزایشی</v>
      </c>
      <c r="M21" s="47" t="str">
        <f t="shared" si="1"/>
        <v>بدون تغییر</v>
      </c>
      <c r="N21" s="47" t="str">
        <f t="shared" si="2"/>
        <v>افزایشی</v>
      </c>
      <c r="V21" s="56"/>
    </row>
    <row r="22" spans="1:22">
      <c r="V22" s="56"/>
    </row>
    <row r="23" spans="1:22">
      <c r="V23" s="56"/>
    </row>
    <row r="24" spans="1:22">
      <c r="V24" s="56"/>
    </row>
    <row r="25" spans="1:22">
      <c r="V25" s="56"/>
    </row>
    <row r="26" spans="1:22">
      <c r="V26" s="56"/>
    </row>
    <row r="27" spans="1:22">
      <c r="V27" s="56"/>
    </row>
    <row r="28" spans="1:22">
      <c r="V28" s="56"/>
    </row>
    <row r="29" spans="1:22">
      <c r="V29" s="56"/>
    </row>
    <row r="30" spans="1:22">
      <c r="V30" s="56"/>
    </row>
    <row r="31" spans="1:22">
      <c r="V31" s="56"/>
    </row>
    <row r="32" spans="1:22">
      <c r="V32" s="56"/>
    </row>
    <row r="33" spans="22:22">
      <c r="V33" s="56"/>
    </row>
    <row r="34" spans="22:22">
      <c r="V34" s="56"/>
    </row>
    <row r="35" spans="22:22">
      <c r="V35" s="56"/>
    </row>
    <row r="36" spans="22:22">
      <c r="V36" s="56"/>
    </row>
    <row r="37" spans="22:22">
      <c r="V37" s="56"/>
    </row>
    <row r="38" spans="22:22">
      <c r="V38" s="56"/>
    </row>
    <row r="39" spans="22:22">
      <c r="V39" s="56"/>
    </row>
    <row r="40" spans="22:22">
      <c r="V40" s="56"/>
    </row>
    <row r="41" spans="22:22">
      <c r="V41" s="56"/>
    </row>
    <row r="42" spans="22:22">
      <c r="V42" s="56"/>
    </row>
    <row r="43" spans="22:22">
      <c r="V43" s="56"/>
    </row>
    <row r="44" spans="22:22">
      <c r="V44" s="56"/>
    </row>
    <row r="45" spans="22:22">
      <c r="V45" s="56"/>
    </row>
    <row r="46" spans="22:22">
      <c r="V46" s="56"/>
    </row>
    <row r="47" spans="22:22">
      <c r="V47" s="56"/>
    </row>
    <row r="48" spans="22:22">
      <c r="V48" s="56"/>
    </row>
    <row r="49" spans="22:22">
      <c r="V49" s="56"/>
    </row>
    <row r="50" spans="22:22">
      <c r="V50" s="56"/>
    </row>
  </sheetData>
  <mergeCells count="2">
    <mergeCell ref="A1:F1"/>
    <mergeCell ref="G1:N1"/>
  </mergeCells>
  <conditionalFormatting sqref="E2:E1048576 J2:J1048576">
    <cfRule type="cellIs" dxfId="5" priority="10" operator="between">
      <formula>0.002</formula>
      <formula>100</formula>
    </cfRule>
  </conditionalFormatting>
  <conditionalFormatting sqref="E17">
    <cfRule type="cellIs" dxfId="4" priority="1" operator="between">
      <formula>1</formula>
      <formula>0.01</formula>
    </cfRule>
  </conditionalFormatting>
  <conditionalFormatting sqref="F2:F1048576 K2:K1048576">
    <cfRule type="cellIs" dxfId="3" priority="9" operator="between">
      <formula>0.003</formula>
      <formula>100</formula>
    </cfRule>
  </conditionalFormatting>
  <conditionalFormatting sqref="J3:J21">
    <cfRule type="cellIs" dxfId="2" priority="13" operator="between">
      <formula>1</formula>
      <formula>0.01</formula>
    </cfRule>
  </conditionalFormatting>
  <conditionalFormatting sqref="L3:N21">
    <cfRule type="cellIs" dxfId="1" priority="12" operator="between">
      <formula>"افزایشی"</formula>
      <formula>"افزایشی"</formula>
    </cfRule>
  </conditionalFormatting>
  <conditionalFormatting sqref="V1 D2:D1048576 I2:I1048576 V21:V1048576">
    <cfRule type="cellIs" dxfId="0" priority="11" operator="between">
      <formula>0.017</formula>
      <formula>100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8652-B523-4A08-9F31-31618077437A}">
  <dimension ref="A1:AG2262"/>
  <sheetViews>
    <sheetView rightToLeft="1" workbookViewId="0">
      <selection activeCell="A5" sqref="A5:XFD15"/>
    </sheetView>
  </sheetViews>
  <sheetFormatPr defaultRowHeight="14.4"/>
  <cols>
    <col min="1" max="1" width="13.5546875" customWidth="1"/>
    <col min="2" max="2" width="10" bestFit="1" customWidth="1"/>
    <col min="3" max="3" width="39.5546875" style="15" bestFit="1" customWidth="1"/>
    <col min="4" max="4" width="17.6640625" customWidth="1"/>
    <col min="5" max="5" width="10.88671875" customWidth="1"/>
    <col min="6" max="6" width="14.5546875" customWidth="1"/>
    <col min="7" max="7" width="14.44140625" customWidth="1"/>
    <col min="8" max="8" width="11.88671875" customWidth="1"/>
    <col min="9" max="9" width="29.109375" customWidth="1"/>
    <col min="10" max="10" width="27.109375" customWidth="1"/>
    <col min="11" max="11" width="18.88671875" customWidth="1"/>
    <col min="12" max="12" width="15.44140625" customWidth="1"/>
    <col min="13" max="13" width="14.109375" customWidth="1"/>
    <col min="14" max="14" width="51.33203125" bestFit="1" customWidth="1"/>
    <col min="15" max="15" width="10.5546875" customWidth="1"/>
    <col min="16" max="16" width="20" bestFit="1" customWidth="1"/>
    <col min="17" max="17" width="15.88671875" customWidth="1"/>
    <col min="18" max="18" width="9.5546875" bestFit="1" customWidth="1"/>
    <col min="19" max="19" width="8.109375" customWidth="1"/>
    <col min="20" max="20" width="35.6640625" bestFit="1" customWidth="1"/>
    <col min="21" max="21" width="17.6640625" customWidth="1"/>
    <col min="22" max="22" width="9.6640625" customWidth="1"/>
    <col min="23" max="23" width="14.109375" bestFit="1" customWidth="1"/>
    <col min="24" max="24" width="8.109375" bestFit="1" customWidth="1"/>
    <col min="25" max="25" width="10.88671875" customWidth="1"/>
    <col min="26" max="26" width="9.33203125" customWidth="1"/>
    <col min="27" max="27" width="23.44140625" customWidth="1"/>
    <col min="28" max="28" width="21.44140625" bestFit="1" customWidth="1"/>
    <col min="29" max="29" width="16.109375" customWidth="1"/>
    <col min="30" max="30" width="16.5546875" customWidth="1"/>
    <col min="31" max="31" width="18.5546875" customWidth="1"/>
    <col min="32" max="32" width="12.109375" customWidth="1"/>
    <col min="33" max="33" width="14.109375" bestFit="1" customWidth="1"/>
  </cols>
  <sheetData>
    <row r="1" spans="1:33">
      <c r="A1" s="26" t="s">
        <v>135</v>
      </c>
      <c r="B1" s="26" t="s">
        <v>136</v>
      </c>
      <c r="C1" s="26" t="s">
        <v>137</v>
      </c>
      <c r="D1" s="26" t="s">
        <v>138</v>
      </c>
      <c r="E1" s="26" t="s">
        <v>139</v>
      </c>
      <c r="F1" s="26" t="s">
        <v>162</v>
      </c>
      <c r="G1" s="26" t="s">
        <v>163</v>
      </c>
      <c r="H1" s="26" t="s">
        <v>164</v>
      </c>
      <c r="I1" s="26" t="s">
        <v>165</v>
      </c>
      <c r="J1" s="26" t="s">
        <v>166</v>
      </c>
      <c r="K1" s="26" t="s">
        <v>167</v>
      </c>
      <c r="L1" s="26" t="s">
        <v>140</v>
      </c>
      <c r="M1" s="26" t="s">
        <v>141</v>
      </c>
      <c r="N1" s="26" t="s">
        <v>142</v>
      </c>
      <c r="O1" s="26" t="s">
        <v>168</v>
      </c>
      <c r="P1" s="26" t="s">
        <v>169</v>
      </c>
      <c r="Q1" s="26" t="s">
        <v>170</v>
      </c>
      <c r="R1" s="26" t="s">
        <v>143</v>
      </c>
      <c r="S1" s="26" t="s">
        <v>118</v>
      </c>
      <c r="T1" s="26" t="s">
        <v>144</v>
      </c>
      <c r="U1" s="26" t="s">
        <v>171</v>
      </c>
      <c r="V1" s="26" t="s">
        <v>172</v>
      </c>
      <c r="W1" s="26" t="s">
        <v>145</v>
      </c>
      <c r="X1" s="26" t="s">
        <v>173</v>
      </c>
      <c r="Y1" s="26" t="s">
        <v>174</v>
      </c>
      <c r="Z1" s="26" t="s">
        <v>175</v>
      </c>
      <c r="AA1" s="26" t="s">
        <v>176</v>
      </c>
      <c r="AB1" s="26" t="s">
        <v>177</v>
      </c>
      <c r="AC1" s="26" t="s">
        <v>178</v>
      </c>
      <c r="AD1" s="26" t="s">
        <v>191</v>
      </c>
      <c r="AE1" s="26" t="s">
        <v>192</v>
      </c>
      <c r="AF1" s="25" t="s">
        <v>179</v>
      </c>
      <c r="AG1" s="27" t="s">
        <v>53</v>
      </c>
    </row>
    <row r="2" spans="1:33">
      <c r="A2">
        <v>198578141</v>
      </c>
      <c r="B2">
        <v>306383261</v>
      </c>
      <c r="C2" t="s">
        <v>359</v>
      </c>
      <c r="D2" s="11">
        <v>1</v>
      </c>
      <c r="E2" s="11">
        <v>1</v>
      </c>
      <c r="F2">
        <v>3335000</v>
      </c>
      <c r="G2">
        <v>1667500</v>
      </c>
      <c r="H2">
        <v>3335000</v>
      </c>
      <c r="I2" s="11">
        <v>1667500</v>
      </c>
      <c r="J2">
        <v>3335000</v>
      </c>
      <c r="K2" s="11">
        <v>3335000</v>
      </c>
      <c r="L2" t="s">
        <v>360</v>
      </c>
      <c r="M2" t="s">
        <v>360</v>
      </c>
      <c r="N2" t="s">
        <v>361</v>
      </c>
      <c r="O2">
        <v>16473723</v>
      </c>
      <c r="P2" t="s">
        <v>362</v>
      </c>
      <c r="Q2">
        <v>2196</v>
      </c>
      <c r="R2" t="s">
        <v>88</v>
      </c>
      <c r="S2" t="s">
        <v>58</v>
      </c>
      <c r="T2" t="s">
        <v>352</v>
      </c>
      <c r="U2">
        <v>1</v>
      </c>
      <c r="V2" t="s">
        <v>180</v>
      </c>
      <c r="W2" t="s">
        <v>363</v>
      </c>
      <c r="X2" t="s">
        <v>58</v>
      </c>
      <c r="Y2" t="s">
        <v>59</v>
      </c>
      <c r="Z2" t="s">
        <v>63</v>
      </c>
      <c r="AA2" t="s">
        <v>181</v>
      </c>
      <c r="AB2" t="s">
        <v>357</v>
      </c>
      <c r="AC2" t="s">
        <v>358</v>
      </c>
      <c r="AD2" t="s">
        <v>190</v>
      </c>
      <c r="AE2" t="s">
        <v>364</v>
      </c>
      <c r="AF2" t="s">
        <v>182</v>
      </c>
      <c r="AG2" t="e">
        <f>VLOOKUP(R2,'[2]شعب فعال'!$A:$A,4,0)</f>
        <v>#REF!</v>
      </c>
    </row>
    <row r="3" spans="1:33">
      <c r="A3">
        <v>198867978</v>
      </c>
      <c r="B3">
        <v>306673105</v>
      </c>
      <c r="C3" t="s">
        <v>146</v>
      </c>
      <c r="D3" s="11">
        <v>1</v>
      </c>
      <c r="E3" s="11">
        <v>1</v>
      </c>
      <c r="F3">
        <v>945000</v>
      </c>
      <c r="G3">
        <v>721500</v>
      </c>
      <c r="H3">
        <v>721500</v>
      </c>
      <c r="I3" s="11">
        <v>721500</v>
      </c>
      <c r="J3">
        <v>945000</v>
      </c>
      <c r="K3" s="11">
        <v>945000</v>
      </c>
      <c r="L3" t="s">
        <v>360</v>
      </c>
      <c r="M3" t="s">
        <v>360</v>
      </c>
      <c r="N3" t="s">
        <v>354</v>
      </c>
      <c r="O3">
        <v>18950801</v>
      </c>
      <c r="P3" t="s">
        <v>355</v>
      </c>
      <c r="Q3">
        <v>7778</v>
      </c>
      <c r="R3" t="s">
        <v>149</v>
      </c>
      <c r="S3" t="s">
        <v>58</v>
      </c>
      <c r="T3" t="s">
        <v>365</v>
      </c>
      <c r="U3">
        <v>1</v>
      </c>
      <c r="V3" t="s">
        <v>180</v>
      </c>
      <c r="W3" t="s">
        <v>356</v>
      </c>
      <c r="X3" t="s">
        <v>353</v>
      </c>
      <c r="Y3" t="s">
        <v>59</v>
      </c>
      <c r="Z3" t="s">
        <v>63</v>
      </c>
      <c r="AA3" t="s">
        <v>181</v>
      </c>
      <c r="AB3" t="s">
        <v>366</v>
      </c>
      <c r="AC3" t="s">
        <v>367</v>
      </c>
      <c r="AD3" t="s">
        <v>195</v>
      </c>
      <c r="AE3" t="s">
        <v>189</v>
      </c>
      <c r="AF3" t="s">
        <v>182</v>
      </c>
      <c r="AG3" t="e">
        <f>VLOOKUP(R3,'[2]شعب فعال'!$A:$A,4,0)</f>
        <v>#REF!</v>
      </c>
    </row>
    <row r="4" spans="1:33">
      <c r="A4">
        <v>198879616</v>
      </c>
      <c r="B4">
        <v>306684743</v>
      </c>
      <c r="C4" t="s">
        <v>146</v>
      </c>
      <c r="D4" s="11">
        <v>1</v>
      </c>
      <c r="E4" s="11">
        <v>1</v>
      </c>
      <c r="F4">
        <v>729000</v>
      </c>
      <c r="G4">
        <v>576000</v>
      </c>
      <c r="H4">
        <v>576000</v>
      </c>
      <c r="I4" s="11">
        <v>576000</v>
      </c>
      <c r="J4">
        <v>729000</v>
      </c>
      <c r="K4" s="11">
        <v>729000</v>
      </c>
      <c r="L4" t="s">
        <v>360</v>
      </c>
      <c r="M4" t="s">
        <v>360</v>
      </c>
      <c r="N4" t="s">
        <v>368</v>
      </c>
      <c r="O4">
        <v>9667953</v>
      </c>
      <c r="P4" t="s">
        <v>369</v>
      </c>
      <c r="Q4">
        <v>11235</v>
      </c>
      <c r="R4" t="s">
        <v>67</v>
      </c>
      <c r="S4" t="s">
        <v>58</v>
      </c>
      <c r="T4" t="s">
        <v>370</v>
      </c>
      <c r="U4">
        <v>1</v>
      </c>
      <c r="V4" t="s">
        <v>180</v>
      </c>
      <c r="W4" t="s">
        <v>371</v>
      </c>
      <c r="X4" t="s">
        <v>58</v>
      </c>
      <c r="Y4" t="s">
        <v>59</v>
      </c>
      <c r="Z4" t="s">
        <v>63</v>
      </c>
      <c r="AA4" t="s">
        <v>181</v>
      </c>
      <c r="AB4" t="s">
        <v>372</v>
      </c>
      <c r="AC4" t="s">
        <v>373</v>
      </c>
      <c r="AD4" t="s">
        <v>195</v>
      </c>
      <c r="AE4" t="s">
        <v>189</v>
      </c>
      <c r="AF4" t="s">
        <v>182</v>
      </c>
      <c r="AG4" t="e">
        <f>VLOOKUP(R4,'[2]شعب فعال'!$A:$A,4,0)</f>
        <v>#REF!</v>
      </c>
    </row>
    <row r="5" spans="1:33">
      <c r="C5"/>
    </row>
    <row r="6" spans="1:33">
      <c r="C6"/>
    </row>
    <row r="7" spans="1:33">
      <c r="C7"/>
    </row>
    <row r="8" spans="1:33">
      <c r="C8"/>
    </row>
    <row r="9" spans="1:33">
      <c r="C9"/>
    </row>
    <row r="10" spans="1:33">
      <c r="C10"/>
    </row>
    <row r="11" spans="1:33">
      <c r="C11"/>
    </row>
    <row r="12" spans="1:33">
      <c r="C12"/>
    </row>
    <row r="13" spans="1:33">
      <c r="C13"/>
    </row>
    <row r="14" spans="1:33">
      <c r="C14"/>
    </row>
    <row r="15" spans="1:33">
      <c r="C15"/>
    </row>
    <row r="16" spans="1:33">
      <c r="C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</sheetData>
  <sortState xmlns:xlrd2="http://schemas.microsoft.com/office/spreadsheetml/2017/richdata2" ref="A1:AF1">
    <sortCondition descending="1" ref="M1"/>
  </sortState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0C42-1120-417D-A55C-654FBBD3A6E1}">
  <dimension ref="A1:H65"/>
  <sheetViews>
    <sheetView rightToLeft="1" workbookViewId="0">
      <selection activeCell="G7" sqref="A7:G11"/>
    </sheetView>
  </sheetViews>
  <sheetFormatPr defaultRowHeight="14.4"/>
  <cols>
    <col min="1" max="1" width="11.33203125" bestFit="1" customWidth="1"/>
    <col min="2" max="2" width="13.33203125" bestFit="1" customWidth="1"/>
    <col min="3" max="3" width="29.6640625" bestFit="1" customWidth="1"/>
    <col min="4" max="4" width="32.33203125" style="10" bestFit="1" customWidth="1"/>
    <col min="5" max="5" width="16" bestFit="1" customWidth="1"/>
    <col min="6" max="6" width="32.33203125" style="10" bestFit="1" customWidth="1"/>
    <col min="7" max="7" width="20.6640625" bestFit="1" customWidth="1"/>
    <col min="8" max="8" width="13" style="16" bestFit="1" customWidth="1"/>
    <col min="9" max="9" width="8.5546875" bestFit="1" customWidth="1"/>
  </cols>
  <sheetData>
    <row r="1" spans="1:8">
      <c r="H1"/>
    </row>
    <row r="2" spans="1:8">
      <c r="H2"/>
    </row>
    <row r="3" spans="1:8">
      <c r="D3"/>
      <c r="F3"/>
      <c r="H3"/>
    </row>
    <row r="4" spans="1:8">
      <c r="D4"/>
      <c r="F4"/>
      <c r="H4"/>
    </row>
    <row r="5" spans="1:8">
      <c r="A5" s="9" t="s">
        <v>158</v>
      </c>
      <c r="B5" s="8" t="s">
        <v>109</v>
      </c>
      <c r="D5"/>
      <c r="F5"/>
      <c r="H5"/>
    </row>
    <row r="6" spans="1:8">
      <c r="D6"/>
      <c r="F6"/>
      <c r="H6"/>
    </row>
    <row r="7" spans="1:8">
      <c r="A7" s="9" t="s">
        <v>116</v>
      </c>
      <c r="B7" s="9" t="s">
        <v>53</v>
      </c>
      <c r="C7" s="9" t="s">
        <v>121</v>
      </c>
      <c r="D7" s="9" t="s">
        <v>130</v>
      </c>
      <c r="E7" s="23" t="s">
        <v>129</v>
      </c>
      <c r="F7" s="9" t="s">
        <v>132</v>
      </c>
      <c r="G7" s="9" t="s">
        <v>133</v>
      </c>
      <c r="H7"/>
    </row>
    <row r="8" spans="1:8">
      <c r="A8" s="18">
        <v>14050323</v>
      </c>
      <c r="B8" s="8" t="s">
        <v>151</v>
      </c>
      <c r="C8" s="8" t="s">
        <v>161</v>
      </c>
      <c r="D8" s="8" t="s">
        <v>342</v>
      </c>
      <c r="E8" s="8" t="s">
        <v>341</v>
      </c>
      <c r="F8" s="8" t="s">
        <v>342</v>
      </c>
      <c r="G8" s="8" t="s">
        <v>154</v>
      </c>
      <c r="H8"/>
    </row>
    <row r="9" spans="1:8">
      <c r="A9" s="18">
        <v>14050323</v>
      </c>
      <c r="B9" s="8" t="s">
        <v>65</v>
      </c>
      <c r="C9" s="8" t="s">
        <v>324</v>
      </c>
      <c r="D9" s="8" t="s">
        <v>327</v>
      </c>
      <c r="E9" s="8" t="s">
        <v>326</v>
      </c>
      <c r="F9" s="8" t="s">
        <v>327</v>
      </c>
      <c r="G9" s="8" t="s">
        <v>154</v>
      </c>
      <c r="H9"/>
    </row>
    <row r="10" spans="1:8">
      <c r="A10" s="18">
        <v>14050323</v>
      </c>
      <c r="B10" s="8" t="s">
        <v>71</v>
      </c>
      <c r="C10" s="8" t="s">
        <v>184</v>
      </c>
      <c r="D10" s="8" t="s">
        <v>333</v>
      </c>
      <c r="E10" s="8" t="s">
        <v>332</v>
      </c>
      <c r="F10" s="8" t="s">
        <v>335</v>
      </c>
      <c r="G10" s="8" t="s">
        <v>155</v>
      </c>
      <c r="H10"/>
    </row>
    <row r="11" spans="1:8">
      <c r="A11" s="18">
        <v>14050321</v>
      </c>
      <c r="B11" s="8" t="s">
        <v>111</v>
      </c>
      <c r="C11" s="8" t="s">
        <v>79</v>
      </c>
      <c r="D11" s="8" t="s">
        <v>321</v>
      </c>
      <c r="E11" s="8" t="s">
        <v>320</v>
      </c>
      <c r="F11" s="8" t="s">
        <v>323</v>
      </c>
      <c r="G11" s="8" t="s">
        <v>155</v>
      </c>
      <c r="H11"/>
    </row>
    <row r="12" spans="1:8">
      <c r="A12" s="18">
        <v>14050320</v>
      </c>
      <c r="B12" s="8" t="s">
        <v>110</v>
      </c>
      <c r="C12" s="8" t="s">
        <v>85</v>
      </c>
      <c r="D12" s="8" t="s">
        <v>314</v>
      </c>
      <c r="E12" s="8" t="s">
        <v>313</v>
      </c>
      <c r="F12" s="8" t="s">
        <v>314</v>
      </c>
      <c r="G12" s="8" t="s">
        <v>154</v>
      </c>
      <c r="H12"/>
    </row>
    <row r="13" spans="1:8">
      <c r="A13" s="18">
        <v>14050319</v>
      </c>
      <c r="B13" s="8" t="s">
        <v>71</v>
      </c>
      <c r="C13" s="8" t="s">
        <v>183</v>
      </c>
      <c r="D13" s="8" t="s">
        <v>305</v>
      </c>
      <c r="E13" s="8" t="s">
        <v>304</v>
      </c>
      <c r="F13" s="8" t="s">
        <v>307</v>
      </c>
      <c r="G13" s="8" t="s">
        <v>155</v>
      </c>
      <c r="H13"/>
    </row>
    <row r="14" spans="1:8">
      <c r="A14" s="18">
        <v>14050314</v>
      </c>
      <c r="B14" s="8" t="s">
        <v>68</v>
      </c>
      <c r="C14" s="8" t="s">
        <v>277</v>
      </c>
      <c r="D14" s="8" t="s">
        <v>284</v>
      </c>
      <c r="E14" s="8" t="s">
        <v>283</v>
      </c>
      <c r="F14" s="8" t="s">
        <v>284</v>
      </c>
      <c r="G14" s="8" t="s">
        <v>154</v>
      </c>
      <c r="H14"/>
    </row>
    <row r="15" spans="1:8">
      <c r="A15" s="18">
        <v>14050313</v>
      </c>
      <c r="B15" s="8" t="s">
        <v>68</v>
      </c>
      <c r="C15" s="8" t="s">
        <v>277</v>
      </c>
      <c r="D15" s="8" t="s">
        <v>284</v>
      </c>
      <c r="E15" s="8" t="s">
        <v>283</v>
      </c>
      <c r="F15" s="8" t="s">
        <v>284</v>
      </c>
      <c r="G15" s="8" t="s">
        <v>154</v>
      </c>
      <c r="H15"/>
    </row>
    <row r="16" spans="1:8">
      <c r="A16" s="18">
        <v>14050313</v>
      </c>
      <c r="B16" s="8" t="s">
        <v>110</v>
      </c>
      <c r="C16" s="8" t="s">
        <v>267</v>
      </c>
      <c r="D16" s="8" t="s">
        <v>204</v>
      </c>
      <c r="E16" s="8" t="s">
        <v>203</v>
      </c>
      <c r="F16" s="8" t="s">
        <v>295</v>
      </c>
      <c r="G16" s="8" t="s">
        <v>155</v>
      </c>
      <c r="H16"/>
    </row>
    <row r="17" spans="1:7" customFormat="1">
      <c r="A17" s="18">
        <v>14050313</v>
      </c>
      <c r="B17" s="8" t="s">
        <v>110</v>
      </c>
      <c r="C17" s="8" t="s">
        <v>267</v>
      </c>
      <c r="D17" s="8" t="s">
        <v>297</v>
      </c>
      <c r="E17" s="8" t="s">
        <v>296</v>
      </c>
      <c r="F17" s="8" t="s">
        <v>295</v>
      </c>
      <c r="G17" s="8" t="s">
        <v>155</v>
      </c>
    </row>
    <row r="18" spans="1:7" customFormat="1">
      <c r="A18" s="18">
        <v>14050313</v>
      </c>
      <c r="B18" s="8" t="s">
        <v>112</v>
      </c>
      <c r="C18" s="8" t="s">
        <v>286</v>
      </c>
      <c r="D18" s="8" t="s">
        <v>289</v>
      </c>
      <c r="E18" s="8" t="s">
        <v>288</v>
      </c>
      <c r="F18" s="8" t="s">
        <v>291</v>
      </c>
      <c r="G18" s="8" t="s">
        <v>155</v>
      </c>
    </row>
    <row r="19" spans="1:7" customFormat="1">
      <c r="A19" s="18">
        <v>14050312</v>
      </c>
      <c r="B19" s="8" t="s">
        <v>110</v>
      </c>
      <c r="C19" s="8" t="s">
        <v>267</v>
      </c>
      <c r="D19" s="8" t="s">
        <v>274</v>
      </c>
      <c r="E19" s="8" t="s">
        <v>273</v>
      </c>
      <c r="F19" s="8" t="s">
        <v>276</v>
      </c>
      <c r="G19" s="8" t="s">
        <v>155</v>
      </c>
    </row>
    <row r="20" spans="1:7" customFormat="1">
      <c r="A20" s="18">
        <v>14050308</v>
      </c>
      <c r="B20" s="8" t="s">
        <v>111</v>
      </c>
      <c r="C20" s="8" t="s">
        <v>196</v>
      </c>
      <c r="D20" s="8" t="s">
        <v>259</v>
      </c>
      <c r="E20" s="8" t="s">
        <v>258</v>
      </c>
      <c r="F20" s="8" t="s">
        <v>259</v>
      </c>
      <c r="G20" s="8" t="s">
        <v>154</v>
      </c>
    </row>
    <row r="21" spans="1:7" customFormat="1">
      <c r="A21" s="18">
        <v>14050308</v>
      </c>
      <c r="B21" s="8" t="s">
        <v>111</v>
      </c>
      <c r="C21" s="8" t="s">
        <v>196</v>
      </c>
      <c r="D21" s="8" t="s">
        <v>266</v>
      </c>
      <c r="E21" s="8" t="s">
        <v>265</v>
      </c>
      <c r="F21" s="8" t="s">
        <v>266</v>
      </c>
      <c r="G21" s="8" t="s">
        <v>154</v>
      </c>
    </row>
    <row r="22" spans="1:7" customFormat="1">
      <c r="A22" s="18">
        <v>14050307</v>
      </c>
      <c r="B22" s="8" t="s">
        <v>111</v>
      </c>
      <c r="C22" s="8" t="s">
        <v>196</v>
      </c>
      <c r="D22" s="8" t="s">
        <v>204</v>
      </c>
      <c r="E22" s="8" t="s">
        <v>203</v>
      </c>
      <c r="F22" s="8" t="s">
        <v>204</v>
      </c>
      <c r="G22" s="8" t="s">
        <v>154</v>
      </c>
    </row>
    <row r="23" spans="1:7" customFormat="1">
      <c r="A23" s="18">
        <v>14050306</v>
      </c>
      <c r="B23" s="8" t="s">
        <v>96</v>
      </c>
      <c r="C23" s="8" t="s">
        <v>240</v>
      </c>
      <c r="D23" s="8" t="s">
        <v>247</v>
      </c>
      <c r="E23" s="8" t="s">
        <v>246</v>
      </c>
      <c r="F23" s="8" t="s">
        <v>247</v>
      </c>
      <c r="G23" s="8" t="s">
        <v>154</v>
      </c>
    </row>
    <row r="24" spans="1:7" customFormat="1">
      <c r="A24" s="18">
        <v>14050306</v>
      </c>
      <c r="B24" s="8" t="s">
        <v>96</v>
      </c>
      <c r="C24" s="8" t="s">
        <v>240</v>
      </c>
      <c r="D24" s="8" t="s">
        <v>251</v>
      </c>
      <c r="E24" s="8" t="s">
        <v>250</v>
      </c>
      <c r="F24" s="8" t="s">
        <v>251</v>
      </c>
      <c r="G24" s="8" t="s">
        <v>154</v>
      </c>
    </row>
    <row r="25" spans="1:7" customFormat="1">
      <c r="A25" s="18">
        <v>14050306</v>
      </c>
      <c r="B25" s="8" t="s">
        <v>71</v>
      </c>
      <c r="C25" s="8" t="s">
        <v>228</v>
      </c>
      <c r="D25" s="8" t="s">
        <v>235</v>
      </c>
      <c r="E25" s="8" t="s">
        <v>234</v>
      </c>
      <c r="F25" s="8" t="s">
        <v>235</v>
      </c>
      <c r="G25" s="8" t="s">
        <v>236</v>
      </c>
    </row>
    <row r="26" spans="1:7" customFormat="1">
      <c r="A26" s="18">
        <v>14050306</v>
      </c>
      <c r="B26" s="8" t="s">
        <v>71</v>
      </c>
      <c r="C26" s="8" t="s">
        <v>228</v>
      </c>
      <c r="D26" s="8" t="s">
        <v>239</v>
      </c>
      <c r="E26" s="8" t="s">
        <v>238</v>
      </c>
      <c r="F26" s="8" t="s">
        <v>239</v>
      </c>
      <c r="G26" s="8" t="s">
        <v>155</v>
      </c>
    </row>
    <row r="27" spans="1:7" customFormat="1">
      <c r="A27" s="18">
        <v>14050305</v>
      </c>
      <c r="B27" s="8" t="s">
        <v>111</v>
      </c>
      <c r="C27" s="8" t="s">
        <v>196</v>
      </c>
      <c r="D27" s="8" t="s">
        <v>212</v>
      </c>
      <c r="E27" s="8" t="s">
        <v>211</v>
      </c>
      <c r="F27" s="8" t="s">
        <v>212</v>
      </c>
      <c r="G27" s="8" t="s">
        <v>154</v>
      </c>
    </row>
    <row r="28" spans="1:7" customFormat="1">
      <c r="A28" s="18">
        <v>14050305</v>
      </c>
      <c r="B28" s="8" t="s">
        <v>111</v>
      </c>
      <c r="C28" s="8" t="s">
        <v>196</v>
      </c>
      <c r="D28" s="8" t="s">
        <v>204</v>
      </c>
      <c r="E28" s="8" t="s">
        <v>203</v>
      </c>
      <c r="F28" s="8" t="s">
        <v>204</v>
      </c>
      <c r="G28" s="8" t="s">
        <v>154</v>
      </c>
    </row>
    <row r="29" spans="1:7" customFormat="1">
      <c r="A29" s="18">
        <v>14050305</v>
      </c>
      <c r="B29" s="8" t="s">
        <v>111</v>
      </c>
      <c r="C29" s="8" t="s">
        <v>196</v>
      </c>
      <c r="D29" s="8" t="s">
        <v>218</v>
      </c>
      <c r="E29" s="8" t="s">
        <v>217</v>
      </c>
      <c r="F29" s="8" t="s">
        <v>218</v>
      </c>
      <c r="G29" s="8" t="s">
        <v>154</v>
      </c>
    </row>
    <row r="30" spans="1:7" customFormat="1">
      <c r="A30" s="18">
        <v>14050305</v>
      </c>
      <c r="B30" s="8" t="s">
        <v>111</v>
      </c>
      <c r="C30" s="8" t="s">
        <v>196</v>
      </c>
      <c r="D30" s="8" t="s">
        <v>223</v>
      </c>
      <c r="E30" s="8" t="s">
        <v>222</v>
      </c>
      <c r="F30" s="8" t="s">
        <v>223</v>
      </c>
      <c r="G30" s="8" t="s">
        <v>154</v>
      </c>
    </row>
    <row r="31" spans="1:7" customFormat="1">
      <c r="A31" s="18">
        <v>14050305</v>
      </c>
      <c r="B31" s="8" t="s">
        <v>89</v>
      </c>
      <c r="C31" s="8" t="s">
        <v>224</v>
      </c>
      <c r="D31" s="8" t="s">
        <v>212</v>
      </c>
      <c r="E31" s="8" t="s">
        <v>211</v>
      </c>
      <c r="F31" s="8" t="s">
        <v>227</v>
      </c>
      <c r="G31" s="8" t="s">
        <v>155</v>
      </c>
    </row>
    <row r="32" spans="1:7" customFormat="1">
      <c r="A32" s="18" t="s">
        <v>100</v>
      </c>
      <c r="B32" s="8"/>
      <c r="C32" s="8"/>
      <c r="D32" s="8"/>
      <c r="E32" s="8"/>
      <c r="F32" s="8"/>
      <c r="G32" s="8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spans="4:8">
      <c r="D49"/>
      <c r="F49"/>
      <c r="H49"/>
    </row>
    <row r="50" spans="4:8">
      <c r="D50"/>
      <c r="F50"/>
      <c r="H50"/>
    </row>
    <row r="51" spans="4:8">
      <c r="D51"/>
      <c r="F51"/>
      <c r="H51"/>
    </row>
    <row r="52" spans="4:8">
      <c r="D52"/>
      <c r="F52"/>
      <c r="H52"/>
    </row>
    <row r="53" spans="4:8">
      <c r="D53"/>
      <c r="F53"/>
      <c r="H53"/>
    </row>
    <row r="54" spans="4:8">
      <c r="D54"/>
      <c r="F54"/>
      <c r="H54"/>
    </row>
    <row r="55" spans="4:8">
      <c r="D55"/>
      <c r="F55"/>
      <c r="H55"/>
    </row>
    <row r="56" spans="4:8">
      <c r="D56"/>
      <c r="H56"/>
    </row>
    <row r="57" spans="4:8">
      <c r="D57"/>
      <c r="H57"/>
    </row>
    <row r="58" spans="4:8">
      <c r="D58"/>
      <c r="H58"/>
    </row>
    <row r="59" spans="4:8">
      <c r="D59"/>
      <c r="H59"/>
    </row>
    <row r="60" spans="4:8">
      <c r="H60"/>
    </row>
    <row r="61" spans="4:8">
      <c r="H61"/>
    </row>
    <row r="62" spans="4:8">
      <c r="H62"/>
    </row>
    <row r="63" spans="4:8">
      <c r="H63"/>
    </row>
    <row r="64" spans="4:8">
      <c r="H64"/>
    </row>
    <row r="65" spans="8:8">
      <c r="H6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7"/>
  <sheetViews>
    <sheetView rightToLeft="1" topLeftCell="AU1" workbookViewId="0">
      <selection activeCell="BB37" sqref="BB2:BB37"/>
    </sheetView>
  </sheetViews>
  <sheetFormatPr defaultRowHeight="14.4"/>
  <cols>
    <col min="1" max="1" width="8.6640625" bestFit="1" customWidth="1"/>
    <col min="2" max="2" width="5.6640625" bestFit="1" customWidth="1"/>
    <col min="3" max="3" width="8.109375" bestFit="1" customWidth="1"/>
    <col min="4" max="4" width="27.109375" bestFit="1" customWidth="1"/>
    <col min="5" max="5" width="15" bestFit="1" customWidth="1"/>
    <col min="6" max="6" width="9.5546875" bestFit="1" customWidth="1"/>
    <col min="7" max="7" width="11.33203125" customWidth="1"/>
    <col min="8" max="8" width="15.5546875" customWidth="1"/>
    <col min="9" max="9" width="21.44140625" customWidth="1"/>
    <col min="10" max="10" width="19.5546875" customWidth="1"/>
    <col min="11" max="11" width="20.6640625" customWidth="1"/>
    <col min="12" max="12" width="11.6640625" customWidth="1"/>
    <col min="13" max="13" width="14.44140625" customWidth="1"/>
    <col min="14" max="14" width="15.5546875" customWidth="1"/>
    <col min="15" max="15" width="15.6640625" customWidth="1"/>
    <col min="16" max="16" width="25" customWidth="1"/>
    <col min="17" max="17" width="12.109375" customWidth="1"/>
    <col min="18" max="18" width="17" customWidth="1"/>
    <col min="19" max="19" width="15.88671875" customWidth="1"/>
    <col min="20" max="20" width="11.88671875" customWidth="1"/>
    <col min="21" max="21" width="36.44140625" customWidth="1"/>
    <col min="22" max="22" width="3.88671875" customWidth="1"/>
    <col min="23" max="23" width="6.109375" customWidth="1"/>
    <col min="24" max="24" width="12.44140625" customWidth="1"/>
    <col min="25" max="25" width="13.6640625" customWidth="1"/>
    <col min="26" max="26" width="16.5546875" customWidth="1"/>
    <col min="27" max="29" width="12" customWidth="1"/>
    <col min="30" max="30" width="11.6640625" customWidth="1"/>
    <col min="31" max="31" width="16.6640625" customWidth="1"/>
    <col min="32" max="32" width="8.6640625" customWidth="1"/>
    <col min="33" max="33" width="5.88671875" customWidth="1"/>
    <col min="34" max="34" width="16.109375" customWidth="1"/>
    <col min="35" max="35" width="21.109375" customWidth="1"/>
    <col min="36" max="36" width="24.88671875" customWidth="1"/>
    <col min="37" max="37" width="8.44140625" customWidth="1"/>
    <col min="38" max="38" width="13.6640625" customWidth="1"/>
    <col min="39" max="39" width="20" customWidth="1"/>
    <col min="40" max="40" width="6.88671875" customWidth="1"/>
    <col min="41" max="41" width="11.6640625" customWidth="1"/>
    <col min="42" max="42" width="19.5546875" customWidth="1"/>
    <col min="43" max="43" width="9.6640625" bestFit="1" customWidth="1"/>
    <col min="44" max="44" width="12" bestFit="1" customWidth="1"/>
    <col min="45" max="45" width="16.33203125" bestFit="1" customWidth="1"/>
    <col min="46" max="47" width="12" bestFit="1" customWidth="1"/>
    <col min="48" max="48" width="17.5546875" bestFit="1" customWidth="1"/>
    <col min="49" max="49" width="9.5546875" bestFit="1" customWidth="1"/>
    <col min="50" max="50" width="14.5546875" bestFit="1" customWidth="1"/>
    <col min="51" max="51" width="11.88671875" bestFit="1" customWidth="1"/>
    <col min="52" max="52" width="16.88671875" bestFit="1" customWidth="1"/>
    <col min="53" max="53" width="16" bestFit="1" customWidth="1"/>
    <col min="54" max="54" width="14.5546875" bestFit="1" customWidth="1"/>
    <col min="55" max="55" width="11" bestFit="1" customWidth="1"/>
    <col min="56" max="56" width="14.33203125" bestFit="1" customWidth="1"/>
    <col min="57" max="57" width="10.6640625" bestFit="1" customWidth="1"/>
    <col min="58" max="58" width="18.109375" bestFit="1" customWidth="1"/>
    <col min="59" max="59" width="14.109375" bestFit="1" customWidth="1"/>
    <col min="60" max="60" width="27.109375" bestFit="1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99</v>
      </c>
      <c r="BH1" t="s">
        <v>113</v>
      </c>
    </row>
    <row r="2" spans="1:60">
      <c r="A2" t="s">
        <v>58</v>
      </c>
      <c r="B2" t="s">
        <v>59</v>
      </c>
      <c r="C2" t="s">
        <v>60</v>
      </c>
      <c r="D2" t="s">
        <v>61</v>
      </c>
      <c r="E2" s="10">
        <v>14050710</v>
      </c>
      <c r="F2" t="s">
        <v>62</v>
      </c>
      <c r="G2" t="s">
        <v>63</v>
      </c>
      <c r="H2" s="11">
        <v>331348355</v>
      </c>
      <c r="I2" s="11">
        <v>62784996</v>
      </c>
      <c r="J2" s="11">
        <v>268563360</v>
      </c>
      <c r="K2" s="12">
        <v>0.18948334902703801</v>
      </c>
      <c r="L2" s="11">
        <v>30475497.000599999</v>
      </c>
      <c r="M2" s="11">
        <v>93260493</v>
      </c>
      <c r="N2" s="11">
        <v>238087862</v>
      </c>
      <c r="O2" s="11">
        <v>224108333</v>
      </c>
      <c r="P2" s="11">
        <v>254583830.00060001</v>
      </c>
      <c r="Q2" s="11">
        <v>238087862</v>
      </c>
      <c r="R2" s="11">
        <v>9204120.9722222202</v>
      </c>
      <c r="S2" s="11">
        <v>7460093.3333333302</v>
      </c>
      <c r="T2" s="11">
        <v>6613551.7222222202</v>
      </c>
      <c r="U2" s="12">
        <v>9.1974191056038698E-2</v>
      </c>
      <c r="V2" s="11">
        <v>36</v>
      </c>
      <c r="W2" s="11">
        <v>36</v>
      </c>
      <c r="X2" s="10">
        <v>35</v>
      </c>
      <c r="Y2" s="10">
        <v>35</v>
      </c>
      <c r="Z2" s="12">
        <v>1</v>
      </c>
      <c r="AA2">
        <v>0.97222222222222199</v>
      </c>
      <c r="AB2">
        <v>7.2777777777777803</v>
      </c>
      <c r="AC2">
        <v>4.9166666666666696</v>
      </c>
      <c r="AD2" s="11">
        <v>0</v>
      </c>
      <c r="AE2" s="13">
        <v>0</v>
      </c>
      <c r="AF2" s="11">
        <v>0</v>
      </c>
      <c r="AG2" s="11">
        <v>0</v>
      </c>
      <c r="AH2" s="12">
        <v>0</v>
      </c>
      <c r="AK2" s="11">
        <v>0</v>
      </c>
      <c r="AL2" s="13">
        <v>0</v>
      </c>
      <c r="AM2" s="11">
        <v>0</v>
      </c>
      <c r="AN2" s="11">
        <v>0</v>
      </c>
      <c r="AO2" s="12">
        <v>0</v>
      </c>
      <c r="AP2" s="11">
        <v>1</v>
      </c>
      <c r="AQ2" s="12">
        <v>2.8571428571428598E-2</v>
      </c>
      <c r="AS2" s="11">
        <v>0</v>
      </c>
      <c r="AT2">
        <v>2.2310810810810802</v>
      </c>
      <c r="AU2">
        <v>1.5067567567567599</v>
      </c>
      <c r="AV2" s="14">
        <v>3.7378378378378398</v>
      </c>
      <c r="AW2" s="11">
        <v>0</v>
      </c>
      <c r="AX2" s="12">
        <v>0</v>
      </c>
      <c r="AY2" s="11">
        <v>0</v>
      </c>
      <c r="AZ2" s="12">
        <v>0</v>
      </c>
      <c r="BA2" t="s">
        <v>64</v>
      </c>
      <c r="BB2" t="s">
        <v>65</v>
      </c>
      <c r="BD2">
        <v>5</v>
      </c>
      <c r="BE2" s="10">
        <v>5</v>
      </c>
      <c r="BF2" s="10">
        <v>4</v>
      </c>
      <c r="BG2" t="str">
        <f>VLOOKUP(Table1[[#This Row],[کد فروشگاه]],'[1]شعب فعال'!$C:$F,4,0)</f>
        <v>محسن ملکی</v>
      </c>
    </row>
    <row r="3" spans="1:60">
      <c r="A3" t="s">
        <v>58</v>
      </c>
      <c r="B3" t="s">
        <v>59</v>
      </c>
      <c r="C3" t="s">
        <v>58</v>
      </c>
      <c r="D3" t="s">
        <v>66</v>
      </c>
      <c r="E3" s="10">
        <v>14050710</v>
      </c>
      <c r="F3" t="s">
        <v>67</v>
      </c>
      <c r="G3" t="s">
        <v>63</v>
      </c>
      <c r="H3" s="11">
        <v>362717743</v>
      </c>
      <c r="I3" s="11">
        <v>71253174</v>
      </c>
      <c r="J3" s="11">
        <v>291464570</v>
      </c>
      <c r="K3" s="12">
        <v>0.19644248282610199</v>
      </c>
      <c r="L3" s="11">
        <v>30669465.999899998</v>
      </c>
      <c r="M3" s="11">
        <v>101922639</v>
      </c>
      <c r="N3" s="11">
        <v>260795103</v>
      </c>
      <c r="O3" s="11">
        <v>249458297</v>
      </c>
      <c r="P3" s="11">
        <v>280127762.99989998</v>
      </c>
      <c r="Q3" s="11">
        <v>260795103</v>
      </c>
      <c r="R3" s="11">
        <v>10075492.861111101</v>
      </c>
      <c r="S3" s="11">
        <v>8096238.0555555597</v>
      </c>
      <c r="T3" s="11">
        <v>7244308.4166666698</v>
      </c>
      <c r="U3" s="12">
        <v>8.4554633754315003E-2</v>
      </c>
      <c r="V3" s="11">
        <v>36</v>
      </c>
      <c r="W3" s="11">
        <v>36</v>
      </c>
      <c r="X3" s="10">
        <v>27</v>
      </c>
      <c r="Y3" s="10">
        <v>27</v>
      </c>
      <c r="Z3" s="12">
        <v>1</v>
      </c>
      <c r="AA3">
        <v>0.75</v>
      </c>
      <c r="AB3">
        <v>5.6111111111111098</v>
      </c>
      <c r="AC3">
        <v>3.8333333333333299</v>
      </c>
      <c r="AD3" s="11">
        <v>0</v>
      </c>
      <c r="AE3" s="13">
        <v>0</v>
      </c>
      <c r="AF3" s="11">
        <v>0</v>
      </c>
      <c r="AG3" s="11">
        <v>0</v>
      </c>
      <c r="AH3" s="12">
        <v>0</v>
      </c>
      <c r="AK3" s="11">
        <v>0</v>
      </c>
      <c r="AL3" s="13">
        <v>0</v>
      </c>
      <c r="AM3" s="11">
        <v>0</v>
      </c>
      <c r="AN3" s="11">
        <v>1</v>
      </c>
      <c r="AO3" s="12">
        <v>2.7777777777777801E-2</v>
      </c>
      <c r="AP3" s="11">
        <v>0</v>
      </c>
      <c r="AQ3" s="12">
        <v>0</v>
      </c>
      <c r="AS3" s="11">
        <v>0</v>
      </c>
      <c r="AT3">
        <v>1.5017857142857101</v>
      </c>
      <c r="AU3">
        <v>1.0220238095238099</v>
      </c>
      <c r="AV3" s="14">
        <v>2.5238095238095202</v>
      </c>
      <c r="AW3" s="11">
        <v>0</v>
      </c>
      <c r="AX3" s="12">
        <v>0</v>
      </c>
      <c r="AY3" s="11">
        <v>0</v>
      </c>
      <c r="AZ3" s="12">
        <v>0</v>
      </c>
      <c r="BA3" t="s">
        <v>64</v>
      </c>
      <c r="BB3" t="s">
        <v>68</v>
      </c>
      <c r="BD3">
        <v>3</v>
      </c>
      <c r="BE3" s="10">
        <v>4</v>
      </c>
      <c r="BF3" s="10">
        <v>3</v>
      </c>
      <c r="BG3" t="str">
        <f>VLOOKUP(Table1[[#This Row],[کد فروشگاه]],'[1]شعب فعال'!$C:$F,4,0)</f>
        <v>مصطفی سیفی</v>
      </c>
    </row>
    <row r="4" spans="1:60">
      <c r="A4" t="s">
        <v>58</v>
      </c>
      <c r="B4" t="s">
        <v>59</v>
      </c>
      <c r="C4" t="s">
        <v>58</v>
      </c>
      <c r="D4" t="s">
        <v>69</v>
      </c>
      <c r="E4" s="10">
        <v>14050710</v>
      </c>
      <c r="F4" t="s">
        <v>70</v>
      </c>
      <c r="G4" t="s">
        <v>63</v>
      </c>
      <c r="H4" s="11">
        <v>305195329</v>
      </c>
      <c r="I4" s="11">
        <v>54810925</v>
      </c>
      <c r="J4" s="11">
        <v>250384405</v>
      </c>
      <c r="K4" s="12">
        <v>0.17959293538204801</v>
      </c>
      <c r="L4" s="11">
        <v>34168876</v>
      </c>
      <c r="M4" s="11">
        <v>88979801</v>
      </c>
      <c r="N4" s="11">
        <v>216215528</v>
      </c>
      <c r="O4" s="11">
        <v>205068918</v>
      </c>
      <c r="P4" s="11">
        <v>239237794</v>
      </c>
      <c r="Q4" s="11">
        <v>216215528</v>
      </c>
      <c r="R4" s="11">
        <v>9248343.3030303009</v>
      </c>
      <c r="S4" s="11">
        <v>7587406.2121212101</v>
      </c>
      <c r="T4" s="11">
        <v>6551985.6969697</v>
      </c>
      <c r="U4" s="12">
        <v>0.11195740118447001</v>
      </c>
      <c r="V4" s="11">
        <v>33</v>
      </c>
      <c r="W4" s="11">
        <v>33</v>
      </c>
      <c r="X4" s="10">
        <v>33</v>
      </c>
      <c r="Y4" s="10">
        <v>33</v>
      </c>
      <c r="Z4" s="12">
        <v>1</v>
      </c>
      <c r="AA4">
        <v>1</v>
      </c>
      <c r="AB4">
        <v>6.39393939393939</v>
      </c>
      <c r="AC4">
        <v>4.1515151515151496</v>
      </c>
      <c r="AD4" s="11">
        <v>0</v>
      </c>
      <c r="AE4" s="13">
        <v>0</v>
      </c>
      <c r="AF4" s="11">
        <v>0</v>
      </c>
      <c r="AG4" s="11">
        <v>0</v>
      </c>
      <c r="AH4" s="12">
        <v>0</v>
      </c>
      <c r="AK4" s="11">
        <v>0</v>
      </c>
      <c r="AL4" s="13">
        <v>0</v>
      </c>
      <c r="AM4" s="11">
        <v>0</v>
      </c>
      <c r="AN4" s="11">
        <v>0</v>
      </c>
      <c r="AO4" s="12">
        <v>0</v>
      </c>
      <c r="AP4" s="11">
        <v>0</v>
      </c>
      <c r="AQ4" s="12">
        <v>0</v>
      </c>
      <c r="AS4" s="11">
        <v>0</v>
      </c>
      <c r="AT4">
        <v>0.97626262626262605</v>
      </c>
      <c r="AU4">
        <v>1.4065656565656599</v>
      </c>
      <c r="AV4" s="14">
        <v>2.3828282828282799</v>
      </c>
      <c r="AW4" s="11">
        <v>0</v>
      </c>
      <c r="AX4" s="12">
        <v>0</v>
      </c>
      <c r="AY4" s="11">
        <v>0</v>
      </c>
      <c r="AZ4" s="12">
        <v>0</v>
      </c>
      <c r="BA4" t="s">
        <v>64</v>
      </c>
      <c r="BB4" t="s">
        <v>349</v>
      </c>
      <c r="BD4">
        <v>3</v>
      </c>
      <c r="BE4" s="10">
        <v>3</v>
      </c>
      <c r="BF4" s="10">
        <v>3</v>
      </c>
      <c r="BG4" t="str">
        <f>VLOOKUP(Table1[[#This Row],[کد فروشگاه]],'[1]شعب فعال'!$C:$F,4,0)</f>
        <v>مرتضی رضایی</v>
      </c>
    </row>
    <row r="5" spans="1:60">
      <c r="A5" t="s">
        <v>58</v>
      </c>
      <c r="B5" t="s">
        <v>59</v>
      </c>
      <c r="C5" t="s">
        <v>58</v>
      </c>
      <c r="D5" t="s">
        <v>72</v>
      </c>
      <c r="E5" s="10">
        <v>14050710</v>
      </c>
      <c r="F5" t="s">
        <v>73</v>
      </c>
      <c r="G5" t="s">
        <v>63</v>
      </c>
      <c r="H5" s="11">
        <v>256961155</v>
      </c>
      <c r="I5" s="11">
        <v>40946950</v>
      </c>
      <c r="J5" s="11">
        <v>216014206</v>
      </c>
      <c r="K5" s="12">
        <v>0.15935073921970799</v>
      </c>
      <c r="L5" s="11">
        <v>22785304.9998</v>
      </c>
      <c r="M5" s="11">
        <v>63732254</v>
      </c>
      <c r="N5" s="11">
        <v>193228900</v>
      </c>
      <c r="O5" s="11">
        <v>184181004</v>
      </c>
      <c r="P5" s="11">
        <v>206966308.9998</v>
      </c>
      <c r="Q5" s="11">
        <v>193228900</v>
      </c>
      <c r="R5" s="11">
        <v>9517079.8148148209</v>
      </c>
      <c r="S5" s="11">
        <v>8000526.1481481502</v>
      </c>
      <c r="T5" s="11">
        <v>7156625.92592593</v>
      </c>
      <c r="U5" s="12">
        <v>8.8672176583640794E-2</v>
      </c>
      <c r="V5" s="11">
        <v>27</v>
      </c>
      <c r="W5" s="11">
        <v>27</v>
      </c>
      <c r="X5" s="10">
        <v>23</v>
      </c>
      <c r="Y5" s="10">
        <v>22</v>
      </c>
      <c r="Z5" s="12">
        <v>1</v>
      </c>
      <c r="AA5">
        <v>0.85185185185185197</v>
      </c>
      <c r="AB5">
        <v>6.2222222222222197</v>
      </c>
      <c r="AC5">
        <v>4.5925925925925899</v>
      </c>
      <c r="AD5" s="11">
        <v>0</v>
      </c>
      <c r="AE5" s="13">
        <v>0</v>
      </c>
      <c r="AF5" s="11">
        <v>0</v>
      </c>
      <c r="AG5" s="11">
        <v>0</v>
      </c>
      <c r="AH5" s="12">
        <v>0</v>
      </c>
      <c r="AK5" s="11">
        <v>0</v>
      </c>
      <c r="AL5" s="13">
        <v>0</v>
      </c>
      <c r="AM5" s="11">
        <v>0</v>
      </c>
      <c r="AN5" s="11">
        <v>1</v>
      </c>
      <c r="AO5" s="12">
        <v>3.7037037037037E-2</v>
      </c>
      <c r="AP5" s="11">
        <v>0</v>
      </c>
      <c r="AQ5" s="12">
        <v>0</v>
      </c>
      <c r="AS5" s="11">
        <v>0</v>
      </c>
      <c r="AT5">
        <v>0.20362318840579699</v>
      </c>
      <c r="AU5">
        <v>1.01811594202899</v>
      </c>
      <c r="AV5" s="14">
        <v>1.22173913043478</v>
      </c>
      <c r="AW5" s="11">
        <v>0</v>
      </c>
      <c r="AX5" s="12">
        <v>0</v>
      </c>
      <c r="AY5" s="11">
        <v>0</v>
      </c>
      <c r="AZ5" s="12">
        <v>0</v>
      </c>
      <c r="BA5" t="s">
        <v>64</v>
      </c>
      <c r="BB5" t="s">
        <v>348</v>
      </c>
      <c r="BD5">
        <v>2</v>
      </c>
      <c r="BE5" s="10">
        <v>3</v>
      </c>
      <c r="BF5" s="10">
        <v>3</v>
      </c>
      <c r="BG5" t="str">
        <f>VLOOKUP(Table1[[#This Row],[کد فروشگاه]],'[1]شعب فعال'!$C:$F,4,0)</f>
        <v>محمد کاظم بستامی</v>
      </c>
    </row>
    <row r="6" spans="1:60">
      <c r="A6" t="s">
        <v>58</v>
      </c>
      <c r="B6" t="s">
        <v>59</v>
      </c>
      <c r="C6" t="s">
        <v>58</v>
      </c>
      <c r="D6" t="s">
        <v>75</v>
      </c>
      <c r="E6" s="10">
        <v>14050710</v>
      </c>
      <c r="F6" t="s">
        <v>76</v>
      </c>
      <c r="G6" t="s">
        <v>63</v>
      </c>
      <c r="H6" s="11">
        <v>113269013</v>
      </c>
      <c r="I6" s="11">
        <v>25199514</v>
      </c>
      <c r="J6" s="11">
        <v>88069499</v>
      </c>
      <c r="K6" s="12">
        <v>0.22247491465295999</v>
      </c>
      <c r="L6" s="11">
        <v>17163039.999899998</v>
      </c>
      <c r="M6" s="11">
        <v>42362553</v>
      </c>
      <c r="N6" s="11">
        <v>70906459</v>
      </c>
      <c r="O6" s="11">
        <v>66895268</v>
      </c>
      <c r="P6" s="11">
        <v>84058307.999899998</v>
      </c>
      <c r="Q6" s="11">
        <v>70906459</v>
      </c>
      <c r="R6" s="11">
        <v>7079313.3125</v>
      </c>
      <c r="S6" s="11">
        <v>5504343.6875</v>
      </c>
      <c r="T6" s="11">
        <v>4431653.6875</v>
      </c>
      <c r="U6" s="12">
        <v>0.151524582003459</v>
      </c>
      <c r="V6" s="11">
        <v>16</v>
      </c>
      <c r="W6" s="11">
        <v>16</v>
      </c>
      <c r="X6" s="10">
        <v>15</v>
      </c>
      <c r="Y6" s="10">
        <v>15</v>
      </c>
      <c r="Z6" s="12">
        <v>1</v>
      </c>
      <c r="AA6">
        <v>0.9375</v>
      </c>
      <c r="AB6">
        <v>6.4375</v>
      </c>
      <c r="AC6">
        <v>4.125</v>
      </c>
      <c r="AD6" s="11">
        <v>0</v>
      </c>
      <c r="AE6" s="13">
        <v>0</v>
      </c>
      <c r="AF6" s="11">
        <v>0</v>
      </c>
      <c r="AG6" s="11">
        <v>1</v>
      </c>
      <c r="AH6" s="12">
        <v>6.25E-2</v>
      </c>
      <c r="AI6" s="12">
        <v>0</v>
      </c>
      <c r="AJ6" s="13">
        <v>0</v>
      </c>
      <c r="AK6" s="11">
        <v>0</v>
      </c>
      <c r="AL6" s="13">
        <v>0</v>
      </c>
      <c r="AM6" s="11">
        <v>0</v>
      </c>
      <c r="AN6" s="11">
        <v>0</v>
      </c>
      <c r="AO6" s="12">
        <v>0</v>
      </c>
      <c r="AP6" s="11">
        <v>0</v>
      </c>
      <c r="AQ6" s="12">
        <v>0</v>
      </c>
      <c r="AS6" s="11">
        <v>0</v>
      </c>
      <c r="AT6">
        <v>0.98333333333333295</v>
      </c>
      <c r="AU6">
        <v>1.4875</v>
      </c>
      <c r="AV6" s="14">
        <v>2.4708333333333301</v>
      </c>
      <c r="AW6" s="11">
        <v>0</v>
      </c>
      <c r="AX6" s="12">
        <v>0</v>
      </c>
      <c r="AY6" s="11">
        <v>0</v>
      </c>
      <c r="AZ6" s="12">
        <v>0</v>
      </c>
      <c r="BA6" t="s">
        <v>64</v>
      </c>
      <c r="BB6" t="s">
        <v>349</v>
      </c>
      <c r="BD6">
        <v>4</v>
      </c>
      <c r="BE6" s="10">
        <v>4</v>
      </c>
      <c r="BF6" s="10">
        <v>3</v>
      </c>
      <c r="BG6" t="str">
        <f>VLOOKUP(Table1[[#This Row],[کد فروشگاه]],'[1]شعب فعال'!$C:$F,4,0)</f>
        <v>مرتضی رضایی</v>
      </c>
    </row>
    <row r="7" spans="1:60">
      <c r="A7" t="s">
        <v>58</v>
      </c>
      <c r="B7" t="s">
        <v>59</v>
      </c>
      <c r="C7" t="s">
        <v>58</v>
      </c>
      <c r="D7" t="s">
        <v>77</v>
      </c>
      <c r="E7" s="10">
        <v>14050710</v>
      </c>
      <c r="F7" t="s">
        <v>78</v>
      </c>
      <c r="G7" t="s">
        <v>63</v>
      </c>
      <c r="H7" s="11">
        <v>72276889</v>
      </c>
      <c r="I7" s="11">
        <v>15313890</v>
      </c>
      <c r="J7" s="11">
        <v>56963000</v>
      </c>
      <c r="K7" s="12">
        <v>0.21187810117283801</v>
      </c>
      <c r="L7" s="11">
        <v>7492807.9998000003</v>
      </c>
      <c r="M7" s="11">
        <v>22806697</v>
      </c>
      <c r="N7" s="11">
        <v>49470191</v>
      </c>
      <c r="O7" s="11">
        <v>47175279</v>
      </c>
      <c r="P7" s="11">
        <v>54668086.999799997</v>
      </c>
      <c r="Q7" s="11">
        <v>49470191</v>
      </c>
      <c r="R7" s="11">
        <v>8030765.4444444403</v>
      </c>
      <c r="S7" s="11">
        <v>6329222.2222222202</v>
      </c>
      <c r="T7" s="11">
        <v>5496687.8888888899</v>
      </c>
      <c r="U7" s="12">
        <v>0.103668101932771</v>
      </c>
      <c r="V7" s="11">
        <v>9</v>
      </c>
      <c r="W7" s="11">
        <v>9</v>
      </c>
      <c r="X7" s="10">
        <v>6</v>
      </c>
      <c r="Y7" s="10">
        <v>6</v>
      </c>
      <c r="Z7" s="12">
        <v>1</v>
      </c>
      <c r="AA7">
        <v>0.66666666666666696</v>
      </c>
      <c r="AB7">
        <v>6.2222222222222197</v>
      </c>
      <c r="AC7">
        <v>4.3333333333333304</v>
      </c>
      <c r="AD7" s="11">
        <v>0</v>
      </c>
      <c r="AE7" s="13">
        <v>0</v>
      </c>
      <c r="AF7" s="11">
        <v>0</v>
      </c>
      <c r="AG7" s="11">
        <v>0</v>
      </c>
      <c r="AH7" s="12">
        <v>0</v>
      </c>
      <c r="AI7" s="12"/>
      <c r="AJ7" s="13"/>
      <c r="AK7" s="11">
        <v>0</v>
      </c>
      <c r="AL7" s="13">
        <v>0</v>
      </c>
      <c r="AM7" s="11">
        <v>0</v>
      </c>
      <c r="AN7" s="11">
        <v>0</v>
      </c>
      <c r="AO7" s="12">
        <v>0</v>
      </c>
      <c r="AP7" s="11">
        <v>2</v>
      </c>
      <c r="AQ7" s="12">
        <v>0.33333333333333298</v>
      </c>
      <c r="AS7" s="11">
        <v>0</v>
      </c>
      <c r="AT7">
        <v>3.1166666666666698</v>
      </c>
      <c r="AU7">
        <v>3.44166666666667</v>
      </c>
      <c r="AV7" s="14">
        <v>6.55833333333333</v>
      </c>
      <c r="AW7" s="11">
        <v>0</v>
      </c>
      <c r="AX7" s="12">
        <v>0</v>
      </c>
      <c r="AY7" s="11">
        <v>0</v>
      </c>
      <c r="AZ7" s="12">
        <v>0</v>
      </c>
      <c r="BA7" t="s">
        <v>64</v>
      </c>
      <c r="BB7" t="s">
        <v>348</v>
      </c>
      <c r="BD7">
        <v>4</v>
      </c>
      <c r="BE7" s="10">
        <v>4</v>
      </c>
      <c r="BF7" s="10">
        <v>3</v>
      </c>
      <c r="BG7" t="str">
        <f>VLOOKUP(Table1[[#This Row],[کد فروشگاه]],'[1]شعب فعال'!$C:$F,4,0)</f>
        <v>محمد کاظم بستامی</v>
      </c>
    </row>
    <row r="8" spans="1:60">
      <c r="A8" t="s">
        <v>58</v>
      </c>
      <c r="B8" t="s">
        <v>59</v>
      </c>
      <c r="C8" t="s">
        <v>58</v>
      </c>
      <c r="D8" t="s">
        <v>79</v>
      </c>
      <c r="E8" s="10">
        <v>14050710</v>
      </c>
      <c r="F8" t="s">
        <v>80</v>
      </c>
      <c r="G8" t="s">
        <v>63</v>
      </c>
      <c r="H8" s="11">
        <v>420938820</v>
      </c>
      <c r="I8" s="11">
        <v>95727271</v>
      </c>
      <c r="J8" s="11">
        <v>325211550</v>
      </c>
      <c r="K8" s="12">
        <v>0.22741373912721999</v>
      </c>
      <c r="L8" s="11">
        <v>47839023.999899998</v>
      </c>
      <c r="M8" s="11">
        <v>143566294</v>
      </c>
      <c r="N8" s="11">
        <v>277372525</v>
      </c>
      <c r="O8" s="11">
        <v>259766609</v>
      </c>
      <c r="P8" s="11">
        <v>307605632.99989998</v>
      </c>
      <c r="Q8" s="11">
        <v>277372525</v>
      </c>
      <c r="R8" s="11">
        <v>10523470.5</v>
      </c>
      <c r="S8" s="11">
        <v>8130288.75</v>
      </c>
      <c r="T8" s="11">
        <v>6934313.125</v>
      </c>
      <c r="U8" s="12">
        <v>0.113648401177779</v>
      </c>
      <c r="V8" s="11">
        <v>40</v>
      </c>
      <c r="W8" s="11">
        <v>40</v>
      </c>
      <c r="X8" s="10">
        <v>38</v>
      </c>
      <c r="Y8" s="10">
        <v>38</v>
      </c>
      <c r="Z8" s="12">
        <v>1</v>
      </c>
      <c r="AA8">
        <v>0.95</v>
      </c>
      <c r="AB8">
        <v>6.55</v>
      </c>
      <c r="AC8">
        <v>4.25</v>
      </c>
      <c r="AD8" s="11">
        <v>0</v>
      </c>
      <c r="AE8" s="13">
        <v>0</v>
      </c>
      <c r="AF8" s="11">
        <v>0</v>
      </c>
      <c r="AG8" s="11">
        <v>0</v>
      </c>
      <c r="AH8" s="12">
        <v>0</v>
      </c>
      <c r="AI8" s="12"/>
      <c r="AJ8" s="13"/>
      <c r="AK8" s="11">
        <v>0</v>
      </c>
      <c r="AL8" s="13">
        <v>0</v>
      </c>
      <c r="AM8" s="11">
        <v>0</v>
      </c>
      <c r="AN8" s="11">
        <v>1</v>
      </c>
      <c r="AO8" s="12">
        <v>2.5000000000000001E-2</v>
      </c>
      <c r="AP8" s="11">
        <v>0</v>
      </c>
      <c r="AQ8" s="12">
        <v>0</v>
      </c>
      <c r="AS8" s="11">
        <v>0</v>
      </c>
      <c r="AT8">
        <v>1.5641025641025601</v>
      </c>
      <c r="AU8">
        <v>1.39786324786325</v>
      </c>
      <c r="AV8" s="14">
        <v>2.9619658119658099</v>
      </c>
      <c r="AW8" s="11">
        <v>0</v>
      </c>
      <c r="AX8" s="12">
        <v>0</v>
      </c>
      <c r="AY8" s="11">
        <v>0</v>
      </c>
      <c r="AZ8" s="12">
        <v>0</v>
      </c>
      <c r="BA8" t="s">
        <v>64</v>
      </c>
      <c r="BB8" t="s">
        <v>349</v>
      </c>
      <c r="BD8">
        <v>5</v>
      </c>
      <c r="BE8" s="10">
        <v>5</v>
      </c>
      <c r="BF8" s="10">
        <v>4</v>
      </c>
      <c r="BG8" t="str">
        <f>VLOOKUP(Table1[[#This Row],[کد فروشگاه]],'[1]شعب فعال'!$C:$F,4,0)</f>
        <v>مرتضی رضایی</v>
      </c>
    </row>
    <row r="9" spans="1:60">
      <c r="A9" t="s">
        <v>58</v>
      </c>
      <c r="B9" t="s">
        <v>59</v>
      </c>
      <c r="C9" t="s">
        <v>58</v>
      </c>
      <c r="D9" t="s">
        <v>81</v>
      </c>
      <c r="E9" s="10">
        <v>14050710</v>
      </c>
      <c r="F9" t="s">
        <v>82</v>
      </c>
      <c r="G9" t="s">
        <v>63</v>
      </c>
      <c r="H9" s="11">
        <v>387109603</v>
      </c>
      <c r="I9" s="11">
        <v>71386604</v>
      </c>
      <c r="J9" s="11">
        <v>315722999</v>
      </c>
      <c r="K9" s="12">
        <v>0.18440928214328001</v>
      </c>
      <c r="L9" s="11">
        <v>37617383.000399999</v>
      </c>
      <c r="M9" s="11">
        <v>109003987</v>
      </c>
      <c r="N9" s="11">
        <v>278105616</v>
      </c>
      <c r="O9" s="11">
        <v>258656542</v>
      </c>
      <c r="P9" s="11">
        <v>296273925.00040001</v>
      </c>
      <c r="Q9" s="11">
        <v>278105616</v>
      </c>
      <c r="R9" s="11">
        <v>11730594.030303</v>
      </c>
      <c r="S9" s="11">
        <v>9567363.6060606092</v>
      </c>
      <c r="T9" s="11">
        <v>8427442.9090909101</v>
      </c>
      <c r="U9" s="12">
        <v>9.7175018682778697E-2</v>
      </c>
      <c r="V9" s="11">
        <v>33</v>
      </c>
      <c r="W9" s="11">
        <v>33</v>
      </c>
      <c r="X9" s="10">
        <v>30</v>
      </c>
      <c r="Y9" s="10">
        <v>30</v>
      </c>
      <c r="Z9" s="12">
        <v>1</v>
      </c>
      <c r="AA9">
        <v>0.90909090909090895</v>
      </c>
      <c r="AB9">
        <v>8.0606060606060606</v>
      </c>
      <c r="AC9">
        <v>4.51515151515152</v>
      </c>
      <c r="AD9" s="11">
        <v>0</v>
      </c>
      <c r="AE9" s="13">
        <v>0</v>
      </c>
      <c r="AF9" s="11">
        <v>0</v>
      </c>
      <c r="AG9" s="11">
        <v>0</v>
      </c>
      <c r="AH9" s="12">
        <v>0</v>
      </c>
      <c r="AI9" s="12"/>
      <c r="AJ9" s="13"/>
      <c r="AK9" s="11">
        <v>0</v>
      </c>
      <c r="AL9" s="13">
        <v>0</v>
      </c>
      <c r="AM9" s="11">
        <v>0</v>
      </c>
      <c r="AN9" s="11">
        <v>0</v>
      </c>
      <c r="AO9" s="12">
        <v>0</v>
      </c>
      <c r="AP9" s="11">
        <v>1</v>
      </c>
      <c r="AQ9" s="12">
        <v>3.3333333333333298E-2</v>
      </c>
      <c r="AS9" s="11">
        <v>0</v>
      </c>
      <c r="AT9">
        <v>0.81111111111111101</v>
      </c>
      <c r="AU9">
        <v>1.4922222222222199</v>
      </c>
      <c r="AV9" s="14">
        <v>2.3033333333333301</v>
      </c>
      <c r="AW9" s="11">
        <v>0</v>
      </c>
      <c r="AX9" s="12">
        <v>0</v>
      </c>
      <c r="AY9" s="11">
        <v>0</v>
      </c>
      <c r="AZ9" s="12">
        <v>0</v>
      </c>
      <c r="BA9" t="s">
        <v>64</v>
      </c>
      <c r="BB9" t="s">
        <v>348</v>
      </c>
      <c r="BD9">
        <v>5</v>
      </c>
      <c r="BE9" s="10">
        <v>5</v>
      </c>
      <c r="BF9" s="10">
        <v>4</v>
      </c>
      <c r="BG9" t="str">
        <f>VLOOKUP(Table1[[#This Row],[کد فروشگاه]],'[1]شعب فعال'!$C:$F,4,0)</f>
        <v>محمد کاظم بستامی</v>
      </c>
    </row>
    <row r="10" spans="1:60">
      <c r="A10" t="s">
        <v>58</v>
      </c>
      <c r="B10" t="s">
        <v>59</v>
      </c>
      <c r="C10" t="s">
        <v>58</v>
      </c>
      <c r="D10" t="s">
        <v>83</v>
      </c>
      <c r="E10" s="10">
        <v>14050710</v>
      </c>
      <c r="F10" t="s">
        <v>84</v>
      </c>
      <c r="G10" t="s">
        <v>63</v>
      </c>
      <c r="H10" s="11">
        <v>125032599</v>
      </c>
      <c r="I10" s="11">
        <v>19560520</v>
      </c>
      <c r="J10" s="11">
        <v>105472079</v>
      </c>
      <c r="K10" s="12">
        <v>0.156443360823044</v>
      </c>
      <c r="L10" s="11">
        <v>7928143.0001999997</v>
      </c>
      <c r="M10" s="11">
        <v>27488663</v>
      </c>
      <c r="N10" s="11">
        <v>97543936</v>
      </c>
      <c r="O10" s="11">
        <v>89352077</v>
      </c>
      <c r="P10" s="11">
        <v>97280220.000200003</v>
      </c>
      <c r="Q10" s="11">
        <v>97543936</v>
      </c>
      <c r="R10" s="11">
        <v>20838766.5</v>
      </c>
      <c r="S10" s="11">
        <v>17578679.833333299</v>
      </c>
      <c r="T10" s="11">
        <v>16257322.6666667</v>
      </c>
      <c r="U10" s="12">
        <v>6.3408607037391901E-2</v>
      </c>
      <c r="V10" s="11">
        <v>6</v>
      </c>
      <c r="W10" s="11">
        <v>6</v>
      </c>
      <c r="X10" s="10">
        <v>5</v>
      </c>
      <c r="Y10" s="10">
        <v>5</v>
      </c>
      <c r="Z10" s="12">
        <v>1</v>
      </c>
      <c r="AA10">
        <v>0.83333333333333304</v>
      </c>
      <c r="AB10">
        <v>11</v>
      </c>
      <c r="AC10">
        <v>4.1666666666666696</v>
      </c>
      <c r="AD10" s="11">
        <v>0</v>
      </c>
      <c r="AE10" s="13">
        <v>0</v>
      </c>
      <c r="AF10" s="11">
        <v>0</v>
      </c>
      <c r="AG10" s="11">
        <v>0</v>
      </c>
      <c r="AH10" s="12">
        <v>0</v>
      </c>
      <c r="AI10" s="12"/>
      <c r="AJ10" s="13"/>
      <c r="AK10" s="11">
        <v>0</v>
      </c>
      <c r="AL10" s="13">
        <v>0</v>
      </c>
      <c r="AM10" s="11">
        <v>0</v>
      </c>
      <c r="AN10" s="11">
        <v>1</v>
      </c>
      <c r="AO10" s="12">
        <v>0.16666666666666699</v>
      </c>
      <c r="AP10" s="11">
        <v>0</v>
      </c>
      <c r="AQ10" s="12">
        <v>0</v>
      </c>
      <c r="AS10" s="11">
        <v>0</v>
      </c>
      <c r="AT10">
        <v>0.92777777777777803</v>
      </c>
      <c r="AU10">
        <v>1.37222222222222</v>
      </c>
      <c r="AV10" s="14">
        <v>2.2999999999999998</v>
      </c>
      <c r="AW10" s="11">
        <v>0</v>
      </c>
      <c r="AX10" s="12">
        <v>0</v>
      </c>
      <c r="AY10" s="11">
        <v>0</v>
      </c>
      <c r="AZ10" s="12">
        <v>0</v>
      </c>
      <c r="BA10" t="s">
        <v>64</v>
      </c>
      <c r="BB10" t="s">
        <v>71</v>
      </c>
      <c r="BD10">
        <v>5</v>
      </c>
      <c r="BE10" s="10">
        <v>4</v>
      </c>
      <c r="BF10" s="10">
        <v>4</v>
      </c>
      <c r="BG10" t="str">
        <f>VLOOKUP(Table1[[#This Row],[کد فروشگاه]],'[1]شعب فعال'!$C:$F,4,0)</f>
        <v>سامان بسطامی</v>
      </c>
    </row>
    <row r="11" spans="1:60">
      <c r="A11" t="s">
        <v>58</v>
      </c>
      <c r="B11" t="s">
        <v>59</v>
      </c>
      <c r="C11" t="s">
        <v>58</v>
      </c>
      <c r="D11" t="s">
        <v>85</v>
      </c>
      <c r="E11" s="10">
        <v>14050710</v>
      </c>
      <c r="F11" t="s">
        <v>86</v>
      </c>
      <c r="G11" t="s">
        <v>63</v>
      </c>
      <c r="H11" s="11">
        <v>647376707</v>
      </c>
      <c r="I11" s="11">
        <v>112217708</v>
      </c>
      <c r="J11" s="11">
        <v>535158999</v>
      </c>
      <c r="K11" s="12">
        <v>0.17334220831025399</v>
      </c>
      <c r="L11" s="11">
        <v>53929816.000500001</v>
      </c>
      <c r="M11" s="11">
        <v>166147524</v>
      </c>
      <c r="N11" s="11">
        <v>481229183</v>
      </c>
      <c r="O11" s="11">
        <v>450052855</v>
      </c>
      <c r="P11" s="11">
        <v>503982671.00050002</v>
      </c>
      <c r="Q11" s="11">
        <v>481229183</v>
      </c>
      <c r="R11" s="11">
        <v>14713106.977272701</v>
      </c>
      <c r="S11" s="11">
        <v>12162704.522727299</v>
      </c>
      <c r="T11" s="11">
        <v>10937026.886363599</v>
      </c>
      <c r="U11" s="12">
        <v>8.3305153451743899E-2</v>
      </c>
      <c r="V11" s="11">
        <v>44</v>
      </c>
      <c r="W11" s="11">
        <v>44</v>
      </c>
      <c r="X11" s="10">
        <v>38</v>
      </c>
      <c r="Y11" s="10">
        <v>38</v>
      </c>
      <c r="Z11" s="12">
        <v>1</v>
      </c>
      <c r="AA11">
        <v>0.86363636363636398</v>
      </c>
      <c r="AB11">
        <v>9.5227272727272698</v>
      </c>
      <c r="AC11">
        <v>4.9318181818181799</v>
      </c>
      <c r="AD11" s="11">
        <v>0</v>
      </c>
      <c r="AE11" s="13">
        <v>0</v>
      </c>
      <c r="AF11" s="11">
        <v>0</v>
      </c>
      <c r="AG11" s="11">
        <v>0</v>
      </c>
      <c r="AH11" s="12">
        <v>0</v>
      </c>
      <c r="AI11" s="12"/>
      <c r="AJ11" s="13"/>
      <c r="AK11" s="11">
        <v>0</v>
      </c>
      <c r="AL11" s="13">
        <v>0</v>
      </c>
      <c r="AM11" s="11">
        <v>0</v>
      </c>
      <c r="AN11" s="11">
        <v>0</v>
      </c>
      <c r="AO11" s="12">
        <v>0</v>
      </c>
      <c r="AP11" s="11">
        <v>0</v>
      </c>
      <c r="AQ11" s="12">
        <v>0</v>
      </c>
      <c r="AS11" s="11">
        <v>0</v>
      </c>
      <c r="AT11">
        <v>1.8204166666666699</v>
      </c>
      <c r="AU11">
        <v>2.15208333333333</v>
      </c>
      <c r="AV11" s="14">
        <v>3.9725000000000001</v>
      </c>
      <c r="AW11" s="11">
        <v>0</v>
      </c>
      <c r="AX11" s="12">
        <v>0</v>
      </c>
      <c r="AY11" s="11">
        <v>0</v>
      </c>
      <c r="AZ11" s="12">
        <v>0</v>
      </c>
      <c r="BA11" t="s">
        <v>64</v>
      </c>
      <c r="BB11" t="s">
        <v>65</v>
      </c>
      <c r="BD11">
        <v>4</v>
      </c>
      <c r="BE11" s="10">
        <v>5</v>
      </c>
      <c r="BF11" s="10">
        <v>5</v>
      </c>
      <c r="BG11" t="str">
        <f>VLOOKUP(Table1[[#This Row],[کد فروشگاه]],'[1]شعب فعال'!$C:$F,4,0)</f>
        <v>محسن ملکی</v>
      </c>
    </row>
    <row r="12" spans="1:60">
      <c r="A12" t="s">
        <v>58</v>
      </c>
      <c r="B12" t="s">
        <v>59</v>
      </c>
      <c r="C12" t="s">
        <v>58</v>
      </c>
      <c r="D12" t="s">
        <v>87</v>
      </c>
      <c r="E12" s="10">
        <v>14050710</v>
      </c>
      <c r="F12" t="s">
        <v>88</v>
      </c>
      <c r="G12" t="s">
        <v>63</v>
      </c>
      <c r="H12" s="11">
        <v>887033789</v>
      </c>
      <c r="I12" s="11">
        <v>166565010</v>
      </c>
      <c r="J12" s="11">
        <v>720468779</v>
      </c>
      <c r="K12" s="12">
        <v>0.18777752557518401</v>
      </c>
      <c r="L12" s="11">
        <v>83133718.999899998</v>
      </c>
      <c r="M12" s="11">
        <v>249698728</v>
      </c>
      <c r="N12" s="11">
        <v>637335060</v>
      </c>
      <c r="O12" s="11">
        <v>598675147</v>
      </c>
      <c r="P12" s="11">
        <v>681808865.99989998</v>
      </c>
      <c r="Q12" s="11">
        <v>637335060</v>
      </c>
      <c r="R12" s="11">
        <v>11671497.223684199</v>
      </c>
      <c r="S12" s="11">
        <v>9479852.3552631605</v>
      </c>
      <c r="T12" s="11">
        <v>8385987.6315789502</v>
      </c>
      <c r="U12" s="12">
        <v>9.3721028373672799E-2</v>
      </c>
      <c r="V12" s="11">
        <v>76</v>
      </c>
      <c r="W12" s="11">
        <v>76</v>
      </c>
      <c r="X12" s="10">
        <v>59</v>
      </c>
      <c r="Y12" s="10">
        <v>59</v>
      </c>
      <c r="Z12" s="12">
        <v>1</v>
      </c>
      <c r="AA12">
        <v>0.77631578947368396</v>
      </c>
      <c r="AB12">
        <v>8.0263157894736796</v>
      </c>
      <c r="AC12">
        <v>4.8684210526315796</v>
      </c>
      <c r="AD12" s="11">
        <v>0</v>
      </c>
      <c r="AE12" s="13">
        <v>0</v>
      </c>
      <c r="AF12" s="11">
        <v>0</v>
      </c>
      <c r="AG12" s="11">
        <v>0</v>
      </c>
      <c r="AH12" s="12">
        <v>0</v>
      </c>
      <c r="AI12" s="12"/>
      <c r="AJ12" s="13"/>
      <c r="AK12" s="11">
        <v>0</v>
      </c>
      <c r="AL12" s="13">
        <v>0</v>
      </c>
      <c r="AM12" s="11">
        <v>0</v>
      </c>
      <c r="AN12" s="11">
        <v>3</v>
      </c>
      <c r="AO12" s="12">
        <v>3.94736842105263E-2</v>
      </c>
      <c r="AP12" s="11">
        <v>3</v>
      </c>
      <c r="AQ12" s="12">
        <v>5.0847457627118599E-2</v>
      </c>
      <c r="AS12" s="11">
        <v>0</v>
      </c>
      <c r="AT12">
        <v>1.6225641025641</v>
      </c>
      <c r="AU12">
        <v>1.6174358974359</v>
      </c>
      <c r="AV12" s="14">
        <v>3.24</v>
      </c>
      <c r="AW12" s="11">
        <v>0</v>
      </c>
      <c r="AX12" s="12">
        <v>0</v>
      </c>
      <c r="AY12" s="11">
        <v>0</v>
      </c>
      <c r="AZ12" s="12">
        <v>0</v>
      </c>
      <c r="BA12" t="s">
        <v>64</v>
      </c>
      <c r="BB12" t="s">
        <v>347</v>
      </c>
      <c r="BD12">
        <v>5</v>
      </c>
      <c r="BE12" s="10">
        <v>5</v>
      </c>
      <c r="BF12" s="10">
        <v>4</v>
      </c>
      <c r="BG12" t="str">
        <f>VLOOKUP(Table1[[#This Row],[کد فروشگاه]],'[1]شعب فعال'!$C:$F,4,0)</f>
        <v>علی ابراهیمی نیا</v>
      </c>
    </row>
    <row r="13" spans="1:60">
      <c r="A13" t="s">
        <v>58</v>
      </c>
      <c r="B13" t="s">
        <v>59</v>
      </c>
      <c r="C13" t="s">
        <v>58</v>
      </c>
      <c r="D13" t="s">
        <v>90</v>
      </c>
      <c r="E13" s="10">
        <v>14050710</v>
      </c>
      <c r="F13" t="s">
        <v>91</v>
      </c>
      <c r="G13" t="s">
        <v>63</v>
      </c>
      <c r="H13" s="11">
        <v>749950198</v>
      </c>
      <c r="I13" s="11">
        <v>135487439</v>
      </c>
      <c r="J13" s="11">
        <v>614462759</v>
      </c>
      <c r="K13" s="12">
        <v>0.18066191509959401</v>
      </c>
      <c r="L13" s="11">
        <v>66218033</v>
      </c>
      <c r="M13" s="11">
        <v>201705472</v>
      </c>
      <c r="N13" s="11">
        <v>548244726</v>
      </c>
      <c r="O13" s="11">
        <v>516230825</v>
      </c>
      <c r="P13" s="11">
        <v>582448858</v>
      </c>
      <c r="Q13" s="11">
        <v>548244726</v>
      </c>
      <c r="R13" s="11">
        <v>12294265.540983601</v>
      </c>
      <c r="S13" s="11">
        <v>10073159.983606599</v>
      </c>
      <c r="T13" s="11">
        <v>8987618.4590163901</v>
      </c>
      <c r="U13" s="12">
        <v>8.8296573678159102E-2</v>
      </c>
      <c r="V13" s="11">
        <v>61</v>
      </c>
      <c r="W13" s="11">
        <v>61</v>
      </c>
      <c r="X13" s="10">
        <v>49</v>
      </c>
      <c r="Y13" s="10">
        <v>49</v>
      </c>
      <c r="Z13" s="12">
        <v>1</v>
      </c>
      <c r="AA13">
        <v>0.80327868852458995</v>
      </c>
      <c r="AB13">
        <v>7.4098360655737698</v>
      </c>
      <c r="AC13">
        <v>4.8196721311475397</v>
      </c>
      <c r="AD13" s="11">
        <v>0</v>
      </c>
      <c r="AE13" s="13">
        <v>0</v>
      </c>
      <c r="AF13" s="11">
        <v>0</v>
      </c>
      <c r="AG13" s="11">
        <v>0</v>
      </c>
      <c r="AH13" s="12">
        <v>0</v>
      </c>
      <c r="AI13" s="12"/>
      <c r="AJ13" s="13"/>
      <c r="AK13" s="11">
        <v>0</v>
      </c>
      <c r="AL13" s="13">
        <v>0</v>
      </c>
      <c r="AM13" s="11">
        <v>0</v>
      </c>
      <c r="AN13" s="11">
        <v>1</v>
      </c>
      <c r="AO13" s="12">
        <v>1.63934426229508E-2</v>
      </c>
      <c r="AP13" s="11">
        <v>0</v>
      </c>
      <c r="AQ13" s="12">
        <v>0</v>
      </c>
      <c r="AS13" s="11">
        <v>0</v>
      </c>
      <c r="AT13">
        <v>1.59466666666667</v>
      </c>
      <c r="AU13">
        <v>1.34266666666667</v>
      </c>
      <c r="AV13" s="14">
        <v>2.93733333333333</v>
      </c>
      <c r="AW13" s="11">
        <v>0</v>
      </c>
      <c r="AX13" s="12">
        <v>0</v>
      </c>
      <c r="AY13" s="11">
        <v>0</v>
      </c>
      <c r="AZ13" s="12">
        <v>0</v>
      </c>
      <c r="BA13" t="s">
        <v>64</v>
      </c>
      <c r="BB13" t="s">
        <v>68</v>
      </c>
      <c r="BD13">
        <v>5</v>
      </c>
      <c r="BE13" s="10">
        <v>5</v>
      </c>
      <c r="BF13" s="10">
        <v>5</v>
      </c>
      <c r="BG13" t="str">
        <f>VLOOKUP(Table1[[#This Row],[کد فروشگاه]],'[1]شعب فعال'!$C:$F,4,0)</f>
        <v>مصطفی سیفی</v>
      </c>
    </row>
    <row r="14" spans="1:60">
      <c r="A14" t="s">
        <v>58</v>
      </c>
      <c r="B14" t="s">
        <v>59</v>
      </c>
      <c r="C14" t="s">
        <v>58</v>
      </c>
      <c r="D14" t="s">
        <v>92</v>
      </c>
      <c r="E14" s="10">
        <v>14050710</v>
      </c>
      <c r="F14" t="s">
        <v>93</v>
      </c>
      <c r="G14" t="s">
        <v>63</v>
      </c>
      <c r="H14" s="11">
        <v>748798205</v>
      </c>
      <c r="I14" s="11">
        <v>124235106</v>
      </c>
      <c r="J14" s="11">
        <v>624563099</v>
      </c>
      <c r="K14" s="12">
        <v>0.165912665348871</v>
      </c>
      <c r="L14" s="11">
        <v>52178417.999600001</v>
      </c>
      <c r="M14" s="11">
        <v>176413523</v>
      </c>
      <c r="N14" s="11">
        <v>572384681</v>
      </c>
      <c r="O14" s="11">
        <v>538588566</v>
      </c>
      <c r="P14" s="11">
        <v>590766983.99960005</v>
      </c>
      <c r="Q14" s="11">
        <v>572384681</v>
      </c>
      <c r="R14" s="11">
        <v>14399965.4807692</v>
      </c>
      <c r="S14" s="11">
        <v>12010828.8269231</v>
      </c>
      <c r="T14" s="11">
        <v>11007397.711538499</v>
      </c>
      <c r="U14" s="12">
        <v>6.9682883294975906E-2</v>
      </c>
      <c r="V14" s="11">
        <v>52</v>
      </c>
      <c r="W14" s="11">
        <v>52</v>
      </c>
      <c r="X14" s="10">
        <v>47</v>
      </c>
      <c r="Y14" s="10">
        <v>46</v>
      </c>
      <c r="Z14" s="12">
        <v>1</v>
      </c>
      <c r="AA14">
        <v>0.90384615384615397</v>
      </c>
      <c r="AB14">
        <v>9.4807692307692299</v>
      </c>
      <c r="AC14">
        <v>4.6923076923076898</v>
      </c>
      <c r="AD14" s="11">
        <v>0</v>
      </c>
      <c r="AE14" s="13">
        <v>0</v>
      </c>
      <c r="AF14" s="11">
        <v>0</v>
      </c>
      <c r="AG14" s="11">
        <v>0</v>
      </c>
      <c r="AH14" s="12">
        <v>0</v>
      </c>
      <c r="AI14" s="12"/>
      <c r="AJ14" s="13"/>
      <c r="AK14" s="11">
        <v>0</v>
      </c>
      <c r="AL14" s="13">
        <v>0</v>
      </c>
      <c r="AM14" s="11">
        <v>0</v>
      </c>
      <c r="AN14" s="11">
        <v>5</v>
      </c>
      <c r="AO14" s="12">
        <v>9.6153846153846201E-2</v>
      </c>
      <c r="AP14" s="11">
        <v>1</v>
      </c>
      <c r="AQ14" s="12">
        <v>2.1276595744680899E-2</v>
      </c>
      <c r="AS14" s="11">
        <v>0</v>
      </c>
      <c r="AT14">
        <v>1.53464052287582</v>
      </c>
      <c r="AU14">
        <v>1.55228758169935</v>
      </c>
      <c r="AV14" s="14">
        <v>3.08692810457516</v>
      </c>
      <c r="AW14" s="11">
        <v>0</v>
      </c>
      <c r="AX14" s="12">
        <v>0</v>
      </c>
      <c r="AY14" s="11">
        <v>0</v>
      </c>
      <c r="AZ14" s="12">
        <v>0</v>
      </c>
      <c r="BA14" t="s">
        <v>64</v>
      </c>
      <c r="BB14" t="s">
        <v>71</v>
      </c>
      <c r="BD14">
        <v>5</v>
      </c>
      <c r="BE14" s="10">
        <v>5</v>
      </c>
      <c r="BF14" s="10">
        <v>5</v>
      </c>
      <c r="BG14" t="str">
        <f>VLOOKUP(Table1[[#This Row],[کد فروشگاه]],'[1]شعب فعال'!$C:$F,4,0)</f>
        <v>سامان بسطامی</v>
      </c>
    </row>
    <row r="15" spans="1:60">
      <c r="A15" t="s">
        <v>58</v>
      </c>
      <c r="B15" t="s">
        <v>59</v>
      </c>
      <c r="C15" t="s">
        <v>353</v>
      </c>
      <c r="D15" t="s">
        <v>161</v>
      </c>
      <c r="E15" s="10">
        <v>14050710</v>
      </c>
      <c r="F15" t="s">
        <v>147</v>
      </c>
      <c r="G15" t="s">
        <v>63</v>
      </c>
      <c r="H15" s="11">
        <v>309464006</v>
      </c>
      <c r="I15" s="11">
        <v>45530614</v>
      </c>
      <c r="J15" s="11">
        <v>263933392</v>
      </c>
      <c r="K15" s="12">
        <v>0.14712733344504</v>
      </c>
      <c r="L15" s="11">
        <v>16270437.0002</v>
      </c>
      <c r="M15" s="11">
        <v>61801051</v>
      </c>
      <c r="N15" s="11">
        <v>247662955</v>
      </c>
      <c r="O15" s="11">
        <v>237191200</v>
      </c>
      <c r="P15" s="11">
        <v>253461637.0002</v>
      </c>
      <c r="Q15" s="11">
        <v>247662955</v>
      </c>
      <c r="R15" s="11">
        <v>10671172.620689699</v>
      </c>
      <c r="S15" s="11">
        <v>9101151.4482758604</v>
      </c>
      <c r="T15" s="11">
        <v>8540101.8965517208</v>
      </c>
      <c r="U15" s="12">
        <v>5.2576185379434599E-2</v>
      </c>
      <c r="V15" s="11">
        <v>29</v>
      </c>
      <c r="W15" s="11">
        <v>29</v>
      </c>
      <c r="X15" s="10">
        <v>28</v>
      </c>
      <c r="Y15" s="10">
        <v>28</v>
      </c>
      <c r="Z15" s="12">
        <v>1</v>
      </c>
      <c r="AA15">
        <v>0.96551724137931005</v>
      </c>
      <c r="AB15">
        <v>5.5862068965517198</v>
      </c>
      <c r="AC15">
        <v>4.1379310344827598</v>
      </c>
      <c r="AD15" s="11">
        <v>0</v>
      </c>
      <c r="AE15" s="13">
        <v>0</v>
      </c>
      <c r="AF15" s="11">
        <v>0</v>
      </c>
      <c r="AG15" s="11">
        <v>0</v>
      </c>
      <c r="AH15" s="12">
        <v>0</v>
      </c>
      <c r="AI15" s="12"/>
      <c r="AJ15" s="13"/>
      <c r="AK15" s="11">
        <v>0</v>
      </c>
      <c r="AL15" s="13">
        <v>0</v>
      </c>
      <c r="AM15" s="11">
        <v>0</v>
      </c>
      <c r="AN15" s="11">
        <v>1</v>
      </c>
      <c r="AO15" s="12">
        <v>3.4482758620689703E-2</v>
      </c>
      <c r="AP15" s="11">
        <v>0</v>
      </c>
      <c r="AQ15" s="12">
        <v>0</v>
      </c>
      <c r="AS15" s="11">
        <v>0</v>
      </c>
      <c r="AT15">
        <v>0.77701149425287397</v>
      </c>
      <c r="AU15">
        <v>1.0752873563218399</v>
      </c>
      <c r="AV15" s="14">
        <v>1.85229885057471</v>
      </c>
      <c r="AW15" s="11">
        <v>0</v>
      </c>
      <c r="AX15" s="12">
        <v>0</v>
      </c>
      <c r="AY15" s="11">
        <v>0</v>
      </c>
      <c r="AZ15" s="12">
        <v>0</v>
      </c>
      <c r="BA15" t="s">
        <v>64</v>
      </c>
      <c r="BB15" t="s">
        <v>189</v>
      </c>
      <c r="BE15" s="10"/>
      <c r="BF15" s="10"/>
      <c r="BG15" t="str">
        <f>VLOOKUP(Table1[[#This Row],[کد فروشگاه]],'[1]شعب فعال'!$C:$F,4,0)</f>
        <v xml:space="preserve">فیاض رحیم زاده </v>
      </c>
    </row>
    <row r="16" spans="1:60">
      <c r="A16" t="s">
        <v>58</v>
      </c>
      <c r="B16" t="s">
        <v>59</v>
      </c>
      <c r="C16" t="s">
        <v>353</v>
      </c>
      <c r="D16" t="s">
        <v>152</v>
      </c>
      <c r="E16" s="10">
        <v>14050710</v>
      </c>
      <c r="F16" t="s">
        <v>149</v>
      </c>
      <c r="G16" t="s">
        <v>63</v>
      </c>
      <c r="H16" s="11">
        <v>620354717</v>
      </c>
      <c r="I16" s="11">
        <v>135463319</v>
      </c>
      <c r="J16" s="11">
        <v>484891398</v>
      </c>
      <c r="K16" s="12">
        <v>0.21836429269868801</v>
      </c>
      <c r="L16" s="11">
        <v>50987308.999899998</v>
      </c>
      <c r="M16" s="11">
        <v>186450627</v>
      </c>
      <c r="N16" s="11">
        <v>433904089</v>
      </c>
      <c r="O16" s="11">
        <v>408991984</v>
      </c>
      <c r="P16" s="11">
        <v>459979292.99989998</v>
      </c>
      <c r="Q16" s="11">
        <v>433904089</v>
      </c>
      <c r="R16" s="11">
        <v>9122863.4852941204</v>
      </c>
      <c r="S16" s="11">
        <v>7130755.8529411796</v>
      </c>
      <c r="T16" s="11">
        <v>6380942.4852941204</v>
      </c>
      <c r="U16" s="12">
        <v>8.2190571814781996E-2</v>
      </c>
      <c r="V16" s="11">
        <v>68</v>
      </c>
      <c r="W16" s="11">
        <v>68</v>
      </c>
      <c r="X16" s="10">
        <v>66</v>
      </c>
      <c r="Y16" s="10">
        <v>66</v>
      </c>
      <c r="Z16" s="12">
        <v>1</v>
      </c>
      <c r="AA16">
        <v>0.97058823529411797</v>
      </c>
      <c r="AB16">
        <v>5.1764705882352899</v>
      </c>
      <c r="AC16">
        <v>3.5</v>
      </c>
      <c r="AD16" s="11">
        <v>0</v>
      </c>
      <c r="AE16" s="13">
        <v>0</v>
      </c>
      <c r="AF16" s="11">
        <v>0</v>
      </c>
      <c r="AG16" s="11">
        <v>0</v>
      </c>
      <c r="AH16" s="12">
        <v>0</v>
      </c>
      <c r="AI16" s="12"/>
      <c r="AJ16" s="13"/>
      <c r="AK16" s="11">
        <v>0</v>
      </c>
      <c r="AL16" s="13">
        <v>0</v>
      </c>
      <c r="AM16" s="11">
        <v>0</v>
      </c>
      <c r="AN16" s="11">
        <v>0</v>
      </c>
      <c r="AO16" s="12">
        <v>0</v>
      </c>
      <c r="AP16" s="11">
        <v>1</v>
      </c>
      <c r="AQ16" s="12">
        <v>1.5151515151515201E-2</v>
      </c>
      <c r="AS16" s="11">
        <v>0</v>
      </c>
      <c r="AT16">
        <v>1.61565656565657</v>
      </c>
      <c r="AU16">
        <v>1.2419191919191901</v>
      </c>
      <c r="AV16" s="14">
        <v>2.8575757575757601</v>
      </c>
      <c r="AW16" s="11">
        <v>0</v>
      </c>
      <c r="AX16" s="12">
        <v>0</v>
      </c>
      <c r="AY16" s="11">
        <v>0</v>
      </c>
      <c r="AZ16" s="12">
        <v>0</v>
      </c>
      <c r="BA16" t="s">
        <v>64</v>
      </c>
      <c r="BB16" t="s">
        <v>375</v>
      </c>
      <c r="BD16">
        <v>4</v>
      </c>
      <c r="BE16" s="10">
        <v>5</v>
      </c>
      <c r="BF16" s="10">
        <v>4</v>
      </c>
      <c r="BG16" t="str">
        <f>VLOOKUP(Table1[[#This Row],[کد فروشگاه]],'[1]شعب فعال'!$C:$F,4,0)</f>
        <v>جواد رستمی</v>
      </c>
    </row>
    <row r="17" spans="1:59">
      <c r="A17" t="s">
        <v>58</v>
      </c>
      <c r="B17" t="s">
        <v>59</v>
      </c>
      <c r="C17" t="s">
        <v>353</v>
      </c>
      <c r="D17" t="s">
        <v>160</v>
      </c>
      <c r="E17" s="10">
        <v>14050710</v>
      </c>
      <c r="F17" t="s">
        <v>148</v>
      </c>
      <c r="G17" t="s">
        <v>63</v>
      </c>
      <c r="H17" s="11">
        <v>523022319</v>
      </c>
      <c r="I17" s="11">
        <v>91627817</v>
      </c>
      <c r="J17" s="11">
        <v>431394502</v>
      </c>
      <c r="K17" s="12">
        <v>0.17518911463508699</v>
      </c>
      <c r="L17" s="11">
        <v>21700012.0011</v>
      </c>
      <c r="M17" s="11">
        <v>113327829</v>
      </c>
      <c r="N17" s="11">
        <v>409694490</v>
      </c>
      <c r="O17" s="11">
        <v>387973950</v>
      </c>
      <c r="P17" s="11">
        <v>409673962.0011</v>
      </c>
      <c r="Q17" s="11">
        <v>409694490</v>
      </c>
      <c r="R17" s="11">
        <v>9017626.1896551698</v>
      </c>
      <c r="S17" s="11">
        <v>7437836.2413793104</v>
      </c>
      <c r="T17" s="11">
        <v>7063698.1034482801</v>
      </c>
      <c r="U17" s="12">
        <v>4.1489648092407003E-2</v>
      </c>
      <c r="V17" s="11">
        <v>58</v>
      </c>
      <c r="W17" s="11">
        <v>58</v>
      </c>
      <c r="X17" s="10">
        <v>55</v>
      </c>
      <c r="Y17" s="10">
        <v>54</v>
      </c>
      <c r="Z17" s="12">
        <v>1</v>
      </c>
      <c r="AA17">
        <v>0.94827586206896597</v>
      </c>
      <c r="AB17">
        <v>5.4310344827586201</v>
      </c>
      <c r="AC17">
        <v>3.8793103448275899</v>
      </c>
      <c r="AD17" s="11">
        <v>0</v>
      </c>
      <c r="AE17" s="13">
        <v>0</v>
      </c>
      <c r="AF17" s="11">
        <v>0</v>
      </c>
      <c r="AG17" s="11">
        <v>0</v>
      </c>
      <c r="AH17" s="12">
        <v>0</v>
      </c>
      <c r="AI17" s="12"/>
      <c r="AJ17" s="13"/>
      <c r="AK17" s="11">
        <v>0</v>
      </c>
      <c r="AL17" s="13">
        <v>0</v>
      </c>
      <c r="AM17" s="11">
        <v>0</v>
      </c>
      <c r="AN17" s="11">
        <v>2</v>
      </c>
      <c r="AO17" s="12">
        <v>3.4482758620689703E-2</v>
      </c>
      <c r="AP17" s="11">
        <v>0</v>
      </c>
      <c r="AQ17" s="12">
        <v>0</v>
      </c>
      <c r="AS17" s="11">
        <v>0</v>
      </c>
      <c r="AT17">
        <v>0.987202380952381</v>
      </c>
      <c r="AU17">
        <v>1.5360119047619001</v>
      </c>
      <c r="AV17" s="14">
        <v>2.5232142857142899</v>
      </c>
      <c r="AW17" s="11">
        <v>0</v>
      </c>
      <c r="AX17" s="12">
        <v>0</v>
      </c>
      <c r="AY17" s="11">
        <v>0</v>
      </c>
      <c r="AZ17" s="12">
        <v>0</v>
      </c>
      <c r="BA17" t="s">
        <v>64</v>
      </c>
      <c r="BB17" t="s">
        <v>375</v>
      </c>
      <c r="BD17">
        <v>5</v>
      </c>
      <c r="BE17" s="10">
        <v>5</v>
      </c>
      <c r="BF17" s="10">
        <v>4</v>
      </c>
      <c r="BG17" t="str">
        <f>VLOOKUP(Table1[[#This Row],[کد فروشگاه]],'[1]شعب فعال'!$C:$F,4,0)</f>
        <v>جواد رستمی</v>
      </c>
    </row>
    <row r="18" spans="1:59">
      <c r="A18" t="s">
        <v>58</v>
      </c>
      <c r="B18" t="s">
        <v>59</v>
      </c>
      <c r="C18" t="s">
        <v>353</v>
      </c>
      <c r="D18" t="s">
        <v>159</v>
      </c>
      <c r="E18" s="10">
        <v>14050710</v>
      </c>
      <c r="F18" t="s">
        <v>150</v>
      </c>
      <c r="G18" t="s">
        <v>63</v>
      </c>
      <c r="H18" s="11">
        <v>732675795</v>
      </c>
      <c r="I18" s="11">
        <v>134316100</v>
      </c>
      <c r="J18" s="11">
        <v>598359695</v>
      </c>
      <c r="K18" s="12">
        <v>0.18332269322477099</v>
      </c>
      <c r="L18" s="11">
        <v>41345388.999600001</v>
      </c>
      <c r="M18" s="11">
        <v>175661488</v>
      </c>
      <c r="N18" s="11">
        <v>557014306</v>
      </c>
      <c r="O18" s="11">
        <v>530219950</v>
      </c>
      <c r="P18" s="11">
        <v>571565338.99960005</v>
      </c>
      <c r="Q18" s="11">
        <v>557014306</v>
      </c>
      <c r="R18" s="11">
        <v>9769010.5999999996</v>
      </c>
      <c r="S18" s="11">
        <v>7978129.2666666703</v>
      </c>
      <c r="T18" s="11">
        <v>7426857.4133333303</v>
      </c>
      <c r="U18" s="12">
        <v>5.6430674011292398E-2</v>
      </c>
      <c r="V18" s="11">
        <v>75</v>
      </c>
      <c r="W18" s="11">
        <v>75</v>
      </c>
      <c r="X18" s="10">
        <v>71</v>
      </c>
      <c r="Y18" s="10">
        <v>71</v>
      </c>
      <c r="Z18" s="12">
        <v>1</v>
      </c>
      <c r="AA18">
        <v>0.94666666666666699</v>
      </c>
      <c r="AB18">
        <v>7.08</v>
      </c>
      <c r="AC18">
        <v>4.6666666666666696</v>
      </c>
      <c r="AD18" s="11">
        <v>0</v>
      </c>
      <c r="AE18" s="13">
        <v>0</v>
      </c>
      <c r="AF18" s="11">
        <v>0</v>
      </c>
      <c r="AG18" s="11">
        <v>0</v>
      </c>
      <c r="AH18" s="12">
        <v>0</v>
      </c>
      <c r="AI18" s="12"/>
      <c r="AJ18" s="13"/>
      <c r="AK18" s="11">
        <v>0</v>
      </c>
      <c r="AL18" s="13">
        <v>0</v>
      </c>
      <c r="AM18" s="11">
        <v>0</v>
      </c>
      <c r="AN18" s="11">
        <v>0</v>
      </c>
      <c r="AO18" s="12">
        <v>0</v>
      </c>
      <c r="AP18" s="11">
        <v>0</v>
      </c>
      <c r="AQ18" s="12">
        <v>0</v>
      </c>
      <c r="AS18" s="11">
        <v>0</v>
      </c>
      <c r="AT18">
        <v>0.68708920187793399</v>
      </c>
      <c r="AU18">
        <v>1.4586854460093901</v>
      </c>
      <c r="AV18" s="14">
        <v>2.1457746478873201</v>
      </c>
      <c r="AW18" s="11">
        <v>0</v>
      </c>
      <c r="AX18" s="12">
        <v>0</v>
      </c>
      <c r="AY18" s="11">
        <v>0</v>
      </c>
      <c r="AZ18" s="12">
        <v>0</v>
      </c>
      <c r="BA18" t="s">
        <v>64</v>
      </c>
      <c r="BB18" t="s">
        <v>350</v>
      </c>
      <c r="BD18">
        <v>6</v>
      </c>
      <c r="BE18" s="10">
        <v>6</v>
      </c>
      <c r="BF18" s="10">
        <v>5</v>
      </c>
      <c r="BG18" t="str">
        <f>VLOOKUP(Table1[[#This Row],[کد فروشگاه]],'[1]شعب فعال'!$C:$F,4,0)</f>
        <v xml:space="preserve">فیاض رحیم زاده </v>
      </c>
    </row>
    <row r="19" spans="1:59">
      <c r="A19" t="s">
        <v>58</v>
      </c>
      <c r="B19" t="s">
        <v>59</v>
      </c>
      <c r="C19" t="s">
        <v>60</v>
      </c>
      <c r="D19" t="s">
        <v>61</v>
      </c>
      <c r="E19" s="10">
        <v>14050709</v>
      </c>
      <c r="F19" t="s">
        <v>62</v>
      </c>
      <c r="G19" t="s">
        <v>63</v>
      </c>
      <c r="H19" s="11">
        <v>216112244</v>
      </c>
      <c r="I19" s="11">
        <v>35868385</v>
      </c>
      <c r="J19" s="11">
        <v>180243860</v>
      </c>
      <c r="K19" s="12">
        <v>0.16597109139267499</v>
      </c>
      <c r="L19" s="11">
        <v>20526989.0002</v>
      </c>
      <c r="M19" s="11">
        <v>56395374</v>
      </c>
      <c r="N19" s="11">
        <v>159716870</v>
      </c>
      <c r="O19" s="11">
        <v>150600198</v>
      </c>
      <c r="P19" s="11">
        <v>171127187.0002</v>
      </c>
      <c r="Q19" s="11">
        <v>159716870</v>
      </c>
      <c r="R19" s="11">
        <v>8644489.7599999998</v>
      </c>
      <c r="S19" s="11">
        <v>7209754.4000000004</v>
      </c>
      <c r="T19" s="11">
        <v>6388674.7999999998</v>
      </c>
      <c r="U19" s="12">
        <v>9.4982998303761099E-2</v>
      </c>
      <c r="V19" s="11">
        <v>25</v>
      </c>
      <c r="W19" s="11">
        <v>25</v>
      </c>
      <c r="X19" s="10">
        <v>22</v>
      </c>
      <c r="Y19" s="10">
        <v>22</v>
      </c>
      <c r="Z19" s="12">
        <v>1</v>
      </c>
      <c r="AA19">
        <v>0.88</v>
      </c>
      <c r="AB19">
        <v>4.4400000000000004</v>
      </c>
      <c r="AC19">
        <v>3.6</v>
      </c>
      <c r="AD19" s="11">
        <v>0</v>
      </c>
      <c r="AE19" s="13">
        <v>0</v>
      </c>
      <c r="AF19" s="11">
        <v>0</v>
      </c>
      <c r="AG19" s="11">
        <v>0</v>
      </c>
      <c r="AH19" s="12">
        <v>0</v>
      </c>
      <c r="AI19" s="12"/>
      <c r="AJ19" s="13"/>
      <c r="AK19" s="11">
        <v>0</v>
      </c>
      <c r="AL19" s="13">
        <v>0</v>
      </c>
      <c r="AM19" s="11">
        <v>0</v>
      </c>
      <c r="AN19" s="11">
        <v>1</v>
      </c>
      <c r="AO19" s="12">
        <v>0.04</v>
      </c>
      <c r="AP19" s="11">
        <v>0</v>
      </c>
      <c r="AQ19" s="12">
        <v>0</v>
      </c>
      <c r="AS19" s="11">
        <v>0</v>
      </c>
      <c r="AT19">
        <v>2.70724637681159</v>
      </c>
      <c r="AU19">
        <v>1.0268115942028999</v>
      </c>
      <c r="AV19" s="14">
        <v>3.7340579710144901</v>
      </c>
      <c r="AW19" s="11">
        <v>0</v>
      </c>
      <c r="AX19" s="12">
        <v>0</v>
      </c>
      <c r="AY19" s="11">
        <v>0</v>
      </c>
      <c r="AZ19" s="12">
        <v>0</v>
      </c>
      <c r="BA19" t="s">
        <v>64</v>
      </c>
      <c r="BB19" t="s">
        <v>65</v>
      </c>
      <c r="BD19">
        <v>5</v>
      </c>
      <c r="BE19" s="10">
        <v>5</v>
      </c>
      <c r="BF19" s="10">
        <v>4</v>
      </c>
      <c r="BG19" t="str">
        <f>VLOOKUP(Table1[[#This Row],[کد فروشگاه]],'[1]شعب فعال'!$C:$F,4,0)</f>
        <v>محسن ملکی</v>
      </c>
    </row>
    <row r="20" spans="1:59">
      <c r="A20" t="s">
        <v>58</v>
      </c>
      <c r="B20" t="s">
        <v>59</v>
      </c>
      <c r="C20" t="s">
        <v>58</v>
      </c>
      <c r="D20" t="s">
        <v>66</v>
      </c>
      <c r="E20" s="10">
        <v>14050709</v>
      </c>
      <c r="F20" t="s">
        <v>67</v>
      </c>
      <c r="G20" t="s">
        <v>63</v>
      </c>
      <c r="H20" s="11">
        <v>544809024</v>
      </c>
      <c r="I20" s="11">
        <v>93902362</v>
      </c>
      <c r="J20" s="11">
        <v>450906662</v>
      </c>
      <c r="K20" s="12">
        <v>0.17235830880804201</v>
      </c>
      <c r="L20" s="11">
        <v>42612274.000399999</v>
      </c>
      <c r="M20" s="11">
        <v>136514636</v>
      </c>
      <c r="N20" s="11">
        <v>408294388</v>
      </c>
      <c r="O20" s="11">
        <v>387210145</v>
      </c>
      <c r="P20" s="11">
        <v>429822419.00040001</v>
      </c>
      <c r="Q20" s="11">
        <v>408294388</v>
      </c>
      <c r="R20" s="11">
        <v>9234051.2542372905</v>
      </c>
      <c r="S20" s="11">
        <v>7642485.79661017</v>
      </c>
      <c r="T20" s="11">
        <v>6920243.8644067803</v>
      </c>
      <c r="U20" s="12">
        <v>7.8215066280568402E-2</v>
      </c>
      <c r="V20" s="11">
        <v>59</v>
      </c>
      <c r="W20" s="11">
        <v>59</v>
      </c>
      <c r="X20" s="10">
        <v>51</v>
      </c>
      <c r="Y20" s="10">
        <v>49</v>
      </c>
      <c r="Z20" s="12">
        <v>1</v>
      </c>
      <c r="AA20">
        <v>0.86440677966101698</v>
      </c>
      <c r="AB20">
        <v>5.0338983050847501</v>
      </c>
      <c r="AC20">
        <v>3.79661016949153</v>
      </c>
      <c r="AD20" s="11">
        <v>0</v>
      </c>
      <c r="AE20" s="13">
        <v>0</v>
      </c>
      <c r="AF20" s="11">
        <v>0</v>
      </c>
      <c r="AG20" s="11">
        <v>0</v>
      </c>
      <c r="AH20" s="12">
        <v>0</v>
      </c>
      <c r="AI20" s="12"/>
      <c r="AJ20" s="13"/>
      <c r="AK20" s="11">
        <v>0</v>
      </c>
      <c r="AL20" s="13">
        <v>0</v>
      </c>
      <c r="AM20" s="11">
        <v>0</v>
      </c>
      <c r="AN20" s="11">
        <v>2</v>
      </c>
      <c r="AO20" s="12">
        <v>3.3898305084745797E-2</v>
      </c>
      <c r="AP20" s="11">
        <v>5</v>
      </c>
      <c r="AQ20" s="12">
        <v>9.8039215686274495E-2</v>
      </c>
      <c r="AS20" s="11">
        <v>0</v>
      </c>
      <c r="AT20">
        <v>3.7597484276729598</v>
      </c>
      <c r="AU20">
        <v>0.85849056603773599</v>
      </c>
      <c r="AV20" s="14">
        <v>4.6182389937106896</v>
      </c>
      <c r="AW20" s="11">
        <v>0</v>
      </c>
      <c r="AX20" s="12">
        <v>0</v>
      </c>
      <c r="AY20" s="11">
        <v>0</v>
      </c>
      <c r="AZ20" s="12">
        <v>0</v>
      </c>
      <c r="BA20" t="s">
        <v>64</v>
      </c>
      <c r="BB20" t="s">
        <v>68</v>
      </c>
      <c r="BD20">
        <v>3</v>
      </c>
      <c r="BE20" s="10">
        <v>4</v>
      </c>
      <c r="BF20" s="10">
        <v>3</v>
      </c>
      <c r="BG20" t="str">
        <f>VLOOKUP(Table1[[#This Row],[کد فروشگاه]],'[1]شعب فعال'!$C:$F,4,0)</f>
        <v>مصطفی سیفی</v>
      </c>
    </row>
    <row r="21" spans="1:59">
      <c r="A21" t="s">
        <v>58</v>
      </c>
      <c r="B21" t="s">
        <v>59</v>
      </c>
      <c r="C21" t="s">
        <v>58</v>
      </c>
      <c r="D21" t="s">
        <v>69</v>
      </c>
      <c r="E21" s="10">
        <v>14050709</v>
      </c>
      <c r="F21" t="s">
        <v>70</v>
      </c>
      <c r="G21" t="s">
        <v>63</v>
      </c>
      <c r="H21" s="11">
        <v>583513140</v>
      </c>
      <c r="I21" s="11">
        <v>86586073</v>
      </c>
      <c r="J21" s="11">
        <v>496927067</v>
      </c>
      <c r="K21" s="12">
        <v>0.148387529028052</v>
      </c>
      <c r="L21" s="11">
        <v>35743290.999499999</v>
      </c>
      <c r="M21" s="11">
        <v>122329363</v>
      </c>
      <c r="N21" s="11">
        <v>461183776</v>
      </c>
      <c r="O21" s="11">
        <v>446495161</v>
      </c>
      <c r="P21" s="11">
        <v>482238451.99949998</v>
      </c>
      <c r="Q21" s="11">
        <v>461183776</v>
      </c>
      <c r="R21" s="11">
        <v>12966958.6666667</v>
      </c>
      <c r="S21" s="11">
        <v>11042823.7111111</v>
      </c>
      <c r="T21" s="11">
        <v>10248528.3555556</v>
      </c>
      <c r="U21" s="12">
        <v>6.1255331694063997E-2</v>
      </c>
      <c r="V21" s="11">
        <v>45</v>
      </c>
      <c r="W21" s="11">
        <v>45</v>
      </c>
      <c r="X21" s="10">
        <v>39</v>
      </c>
      <c r="Y21" s="10">
        <v>38</v>
      </c>
      <c r="Z21" s="12">
        <v>1</v>
      </c>
      <c r="AA21">
        <v>0.86666666666666703</v>
      </c>
      <c r="AB21">
        <v>6.2222222222222197</v>
      </c>
      <c r="AC21">
        <v>4.37777777777778</v>
      </c>
      <c r="AD21" s="11">
        <v>0</v>
      </c>
      <c r="AE21" s="13">
        <v>0</v>
      </c>
      <c r="AF21" s="11">
        <v>0</v>
      </c>
      <c r="AG21" s="11">
        <v>0</v>
      </c>
      <c r="AH21" s="12">
        <v>0</v>
      </c>
      <c r="AI21" s="12"/>
      <c r="AJ21" s="13"/>
      <c r="AK21" s="11">
        <v>0</v>
      </c>
      <c r="AL21" s="13">
        <v>0</v>
      </c>
      <c r="AM21" s="11">
        <v>0</v>
      </c>
      <c r="AN21" s="11">
        <v>2</v>
      </c>
      <c r="AO21" s="12">
        <v>4.4444444444444398E-2</v>
      </c>
      <c r="AP21" s="11">
        <v>0</v>
      </c>
      <c r="AQ21" s="12">
        <v>0</v>
      </c>
      <c r="AS21" s="11">
        <v>0</v>
      </c>
      <c r="AT21">
        <v>1.06666666666667</v>
      </c>
      <c r="AU21">
        <v>1.75166666666667</v>
      </c>
      <c r="AV21" s="14">
        <v>2.8183333333333298</v>
      </c>
      <c r="AW21" s="11">
        <v>0</v>
      </c>
      <c r="AX21" s="12">
        <v>0</v>
      </c>
      <c r="AY21" s="11">
        <v>0</v>
      </c>
      <c r="AZ21" s="12">
        <v>0</v>
      </c>
      <c r="BA21" t="s">
        <v>64</v>
      </c>
      <c r="BB21" t="s">
        <v>349</v>
      </c>
      <c r="BD21">
        <v>3</v>
      </c>
      <c r="BE21" s="10">
        <v>3</v>
      </c>
      <c r="BF21" s="10">
        <v>3</v>
      </c>
      <c r="BG21" t="str">
        <f>VLOOKUP(Table1[[#This Row],[کد فروشگاه]],'[1]شعب فعال'!$C:$F,4,0)</f>
        <v>مرتضی رضایی</v>
      </c>
    </row>
    <row r="22" spans="1:59">
      <c r="A22" t="s">
        <v>58</v>
      </c>
      <c r="B22" t="s">
        <v>59</v>
      </c>
      <c r="C22" t="s">
        <v>58</v>
      </c>
      <c r="D22" t="s">
        <v>72</v>
      </c>
      <c r="E22" s="10">
        <v>14050709</v>
      </c>
      <c r="F22" t="s">
        <v>73</v>
      </c>
      <c r="G22" t="s">
        <v>63</v>
      </c>
      <c r="H22" s="11">
        <v>500664378</v>
      </c>
      <c r="I22" s="11">
        <v>84049089</v>
      </c>
      <c r="J22" s="11">
        <v>416615289</v>
      </c>
      <c r="K22" s="12">
        <v>0.16787511293643501</v>
      </c>
      <c r="L22" s="11">
        <v>52867513.999200001</v>
      </c>
      <c r="M22" s="11">
        <v>136916602</v>
      </c>
      <c r="N22" s="11">
        <v>363747775</v>
      </c>
      <c r="O22" s="11">
        <v>349188942</v>
      </c>
      <c r="P22" s="11">
        <v>402056455.99919999</v>
      </c>
      <c r="Q22" s="11">
        <v>363747775</v>
      </c>
      <c r="R22" s="11">
        <v>9446497.6981132105</v>
      </c>
      <c r="S22" s="11">
        <v>7860665.8301886804</v>
      </c>
      <c r="T22" s="11">
        <v>6863165.5660377396</v>
      </c>
      <c r="U22" s="12">
        <v>0.10559471817256701</v>
      </c>
      <c r="V22" s="11">
        <v>53</v>
      </c>
      <c r="W22" s="11">
        <v>53</v>
      </c>
      <c r="X22" s="10">
        <v>41</v>
      </c>
      <c r="Y22" s="10">
        <v>41</v>
      </c>
      <c r="Z22" s="12">
        <v>1</v>
      </c>
      <c r="AA22">
        <v>0.77358490566037696</v>
      </c>
      <c r="AB22">
        <v>5</v>
      </c>
      <c r="AC22">
        <v>3.9245283018867898</v>
      </c>
      <c r="AD22" s="11">
        <v>0</v>
      </c>
      <c r="AE22" s="13">
        <v>0</v>
      </c>
      <c r="AF22" s="11">
        <v>0</v>
      </c>
      <c r="AG22" s="11">
        <v>0</v>
      </c>
      <c r="AH22" s="12">
        <v>0</v>
      </c>
      <c r="AI22" s="12"/>
      <c r="AJ22" s="13"/>
      <c r="AK22" s="11">
        <v>0</v>
      </c>
      <c r="AL22" s="13">
        <v>0</v>
      </c>
      <c r="AM22" s="11">
        <v>0</v>
      </c>
      <c r="AN22" s="11">
        <v>0</v>
      </c>
      <c r="AO22" s="12">
        <v>0</v>
      </c>
      <c r="AP22" s="11">
        <v>0</v>
      </c>
      <c r="AQ22" s="12">
        <v>0</v>
      </c>
      <c r="AS22" s="11">
        <v>0</v>
      </c>
      <c r="AT22">
        <v>1.1666666666666701</v>
      </c>
      <c r="AU22">
        <v>0.95555555555555505</v>
      </c>
      <c r="AV22" s="14">
        <v>2.12222222222222</v>
      </c>
      <c r="AW22" s="11">
        <v>0</v>
      </c>
      <c r="AX22" s="12">
        <v>0</v>
      </c>
      <c r="AY22" s="11">
        <v>0</v>
      </c>
      <c r="AZ22" s="12">
        <v>0</v>
      </c>
      <c r="BA22" t="s">
        <v>64</v>
      </c>
      <c r="BB22" t="s">
        <v>348</v>
      </c>
      <c r="BD22">
        <v>2</v>
      </c>
      <c r="BE22" s="10">
        <v>3</v>
      </c>
      <c r="BF22" s="10">
        <v>3</v>
      </c>
      <c r="BG22" t="str">
        <f>VLOOKUP(Table1[[#This Row],[کد فروشگاه]],'[1]شعب فعال'!$C:$F,4,0)</f>
        <v>محمد کاظم بستامی</v>
      </c>
    </row>
    <row r="23" spans="1:59">
      <c r="A23" t="s">
        <v>58</v>
      </c>
      <c r="B23" t="s">
        <v>59</v>
      </c>
      <c r="C23" t="s">
        <v>58</v>
      </c>
      <c r="D23" t="s">
        <v>75</v>
      </c>
      <c r="E23" s="10">
        <v>14050709</v>
      </c>
      <c r="F23" t="s">
        <v>76</v>
      </c>
      <c r="G23" t="s">
        <v>63</v>
      </c>
      <c r="H23" s="11">
        <v>302344761</v>
      </c>
      <c r="I23" s="11">
        <v>41150762</v>
      </c>
      <c r="J23" s="11">
        <v>261194000</v>
      </c>
      <c r="K23" s="12">
        <v>0.136105424363546</v>
      </c>
      <c r="L23" s="11">
        <v>20627018.000100002</v>
      </c>
      <c r="M23" s="11">
        <v>61777780</v>
      </c>
      <c r="N23" s="11">
        <v>240566981</v>
      </c>
      <c r="O23" s="11">
        <v>231794364</v>
      </c>
      <c r="P23" s="11">
        <v>252421382.00009999</v>
      </c>
      <c r="Q23" s="11">
        <v>240566981</v>
      </c>
      <c r="R23" s="11">
        <v>9448273.78125</v>
      </c>
      <c r="S23" s="11">
        <v>8162312.5</v>
      </c>
      <c r="T23" s="11">
        <v>7517718.15625</v>
      </c>
      <c r="U23" s="12">
        <v>6.8223500429784506E-2</v>
      </c>
      <c r="V23" s="11">
        <v>32</v>
      </c>
      <c r="W23" s="11">
        <v>32</v>
      </c>
      <c r="X23" s="10">
        <v>26</v>
      </c>
      <c r="Y23" s="10">
        <v>26</v>
      </c>
      <c r="Z23" s="12">
        <v>1</v>
      </c>
      <c r="AA23">
        <v>0.8125</v>
      </c>
      <c r="AB23">
        <v>4.46875</v>
      </c>
      <c r="AC23">
        <v>3.25</v>
      </c>
      <c r="AD23" s="11">
        <v>0</v>
      </c>
      <c r="AE23" s="13">
        <v>0</v>
      </c>
      <c r="AF23" s="11">
        <v>0</v>
      </c>
      <c r="AG23" s="11">
        <v>0</v>
      </c>
      <c r="AH23" s="12">
        <v>0</v>
      </c>
      <c r="AI23" s="12"/>
      <c r="AJ23" s="13"/>
      <c r="AK23" s="11">
        <v>0</v>
      </c>
      <c r="AL23" s="13">
        <v>0</v>
      </c>
      <c r="AM23" s="11">
        <v>0</v>
      </c>
      <c r="AN23" s="11">
        <v>1</v>
      </c>
      <c r="AO23" s="12">
        <v>3.125E-2</v>
      </c>
      <c r="AP23" s="11">
        <v>0</v>
      </c>
      <c r="AQ23" s="12">
        <v>0</v>
      </c>
      <c r="AS23" s="11">
        <v>0</v>
      </c>
      <c r="AT23">
        <v>1.05679012345679</v>
      </c>
      <c r="AU23">
        <v>1.2074074074074099</v>
      </c>
      <c r="AV23" s="14">
        <v>2.2641975308641999</v>
      </c>
      <c r="AW23" s="11">
        <v>0</v>
      </c>
      <c r="AX23" s="12">
        <v>0</v>
      </c>
      <c r="AY23" s="11">
        <v>0</v>
      </c>
      <c r="AZ23" s="12">
        <v>0</v>
      </c>
      <c r="BA23" t="s">
        <v>64</v>
      </c>
      <c r="BB23" t="s">
        <v>349</v>
      </c>
      <c r="BD23">
        <v>4</v>
      </c>
      <c r="BE23" s="10">
        <v>4</v>
      </c>
      <c r="BF23" s="10">
        <v>3</v>
      </c>
      <c r="BG23" t="str">
        <f>VLOOKUP(Table1[[#This Row],[کد فروشگاه]],'[1]شعب فعال'!$C:$F,4,0)</f>
        <v>مرتضی رضایی</v>
      </c>
    </row>
    <row r="24" spans="1:59">
      <c r="A24" t="s">
        <v>58</v>
      </c>
      <c r="B24" t="s">
        <v>59</v>
      </c>
      <c r="C24" t="s">
        <v>58</v>
      </c>
      <c r="D24" t="s">
        <v>77</v>
      </c>
      <c r="E24" s="10">
        <v>14050709</v>
      </c>
      <c r="F24" t="s">
        <v>78</v>
      </c>
      <c r="G24" t="s">
        <v>63</v>
      </c>
      <c r="H24" s="11">
        <v>234879230</v>
      </c>
      <c r="I24" s="11">
        <v>42491731</v>
      </c>
      <c r="J24" s="11">
        <v>192387500</v>
      </c>
      <c r="K24" s="12">
        <v>0.18090884834729701</v>
      </c>
      <c r="L24" s="11">
        <v>28521587.999400001</v>
      </c>
      <c r="M24" s="11">
        <v>71013318</v>
      </c>
      <c r="N24" s="11">
        <v>163865912</v>
      </c>
      <c r="O24" s="11">
        <v>156130367</v>
      </c>
      <c r="P24" s="11">
        <v>184651954.99939999</v>
      </c>
      <c r="Q24" s="11">
        <v>163865912</v>
      </c>
      <c r="R24" s="11">
        <v>8388543.92857143</v>
      </c>
      <c r="S24" s="11">
        <v>6870982.1428571399</v>
      </c>
      <c r="T24" s="11">
        <v>5852354</v>
      </c>
      <c r="U24" s="12">
        <v>0.12143086418509599</v>
      </c>
      <c r="V24" s="11">
        <v>28</v>
      </c>
      <c r="W24" s="11">
        <v>28</v>
      </c>
      <c r="X24" s="10">
        <v>16</v>
      </c>
      <c r="Y24" s="10">
        <v>16</v>
      </c>
      <c r="Z24" s="12">
        <v>1</v>
      </c>
      <c r="AA24">
        <v>0.57142857142857095</v>
      </c>
      <c r="AB24">
        <v>3.78571428571429</v>
      </c>
      <c r="AC24">
        <v>3.1428571428571401</v>
      </c>
      <c r="AD24" s="11">
        <v>0</v>
      </c>
      <c r="AE24" s="13">
        <v>0</v>
      </c>
      <c r="AF24" s="11">
        <v>0</v>
      </c>
      <c r="AG24" s="11">
        <v>0</v>
      </c>
      <c r="AH24" s="12">
        <v>0</v>
      </c>
      <c r="AI24" s="12"/>
      <c r="AJ24" s="13"/>
      <c r="AK24" s="11">
        <v>0</v>
      </c>
      <c r="AL24" s="13">
        <v>0</v>
      </c>
      <c r="AM24" s="11">
        <v>0</v>
      </c>
      <c r="AN24" s="11">
        <v>0</v>
      </c>
      <c r="AO24" s="12">
        <v>0</v>
      </c>
      <c r="AP24" s="11">
        <v>0</v>
      </c>
      <c r="AQ24" s="12">
        <v>0</v>
      </c>
      <c r="AS24" s="11">
        <v>0</v>
      </c>
      <c r="AT24">
        <v>2.1175438596491198</v>
      </c>
      <c r="AU24">
        <v>0.88508771929824603</v>
      </c>
      <c r="AV24" s="14">
        <v>3.0026315789473701</v>
      </c>
      <c r="AW24" s="11">
        <v>0</v>
      </c>
      <c r="AX24" s="12">
        <v>0</v>
      </c>
      <c r="AY24" s="11">
        <v>0</v>
      </c>
      <c r="AZ24" s="12">
        <v>0</v>
      </c>
      <c r="BA24" t="s">
        <v>64</v>
      </c>
      <c r="BB24" t="s">
        <v>348</v>
      </c>
      <c r="BD24">
        <v>4</v>
      </c>
      <c r="BE24" s="10">
        <v>4</v>
      </c>
      <c r="BF24" s="10">
        <v>3</v>
      </c>
      <c r="BG24" t="str">
        <f>VLOOKUP(Table1[[#This Row],[کد فروشگاه]],'[1]شعب فعال'!$C:$F,4,0)</f>
        <v>محمد کاظم بستامی</v>
      </c>
    </row>
    <row r="25" spans="1:59">
      <c r="A25" t="s">
        <v>58</v>
      </c>
      <c r="B25" t="s">
        <v>59</v>
      </c>
      <c r="C25" t="s">
        <v>58</v>
      </c>
      <c r="D25" t="s">
        <v>79</v>
      </c>
      <c r="E25" s="10">
        <v>14050709</v>
      </c>
      <c r="F25" t="s">
        <v>80</v>
      </c>
      <c r="G25" t="s">
        <v>63</v>
      </c>
      <c r="H25" s="11">
        <v>500941975</v>
      </c>
      <c r="I25" s="11">
        <v>94254696</v>
      </c>
      <c r="J25" s="11">
        <v>406687279</v>
      </c>
      <c r="K25" s="12">
        <v>0.18815491754309499</v>
      </c>
      <c r="L25" s="11">
        <v>58691141.999799997</v>
      </c>
      <c r="M25" s="11">
        <v>152945837</v>
      </c>
      <c r="N25" s="11">
        <v>347996137</v>
      </c>
      <c r="O25" s="11">
        <v>331267747</v>
      </c>
      <c r="P25" s="11">
        <v>389958888.99980003</v>
      </c>
      <c r="Q25" s="11">
        <v>347996137</v>
      </c>
      <c r="R25" s="11">
        <v>10018839.5</v>
      </c>
      <c r="S25" s="11">
        <v>8133745.5800000001</v>
      </c>
      <c r="T25" s="11">
        <v>6959922.7400000002</v>
      </c>
      <c r="U25" s="12">
        <v>0.117161557250245</v>
      </c>
      <c r="V25" s="11">
        <v>50</v>
      </c>
      <c r="W25" s="11">
        <v>50</v>
      </c>
      <c r="X25" s="10">
        <v>37</v>
      </c>
      <c r="Y25" s="10">
        <v>37</v>
      </c>
      <c r="Z25" s="12">
        <v>1</v>
      </c>
      <c r="AA25">
        <v>0.74</v>
      </c>
      <c r="AB25">
        <v>6.04</v>
      </c>
      <c r="AC25">
        <v>4.76</v>
      </c>
      <c r="AD25" s="11">
        <v>0</v>
      </c>
      <c r="AE25" s="13">
        <v>0</v>
      </c>
      <c r="AF25" s="11">
        <v>0</v>
      </c>
      <c r="AG25" s="11">
        <v>0</v>
      </c>
      <c r="AH25" s="12">
        <v>0</v>
      </c>
      <c r="AI25" s="12"/>
      <c r="AJ25" s="13"/>
      <c r="AK25" s="11">
        <v>0</v>
      </c>
      <c r="AL25" s="13">
        <v>0</v>
      </c>
      <c r="AM25" s="11">
        <v>0</v>
      </c>
      <c r="AN25" s="11">
        <v>0</v>
      </c>
      <c r="AO25" s="12">
        <v>0</v>
      </c>
      <c r="AP25" s="11">
        <v>3</v>
      </c>
      <c r="AQ25" s="12">
        <v>8.1081081081081099E-2</v>
      </c>
      <c r="AS25" s="11">
        <v>0</v>
      </c>
      <c r="AT25">
        <v>2.7864864864864902</v>
      </c>
      <c r="AU25">
        <v>1.27747747747748</v>
      </c>
      <c r="AV25" s="14">
        <v>4.0639639639639604</v>
      </c>
      <c r="AW25" s="11">
        <v>0</v>
      </c>
      <c r="AX25" s="12">
        <v>0</v>
      </c>
      <c r="AY25" s="11">
        <v>0</v>
      </c>
      <c r="AZ25" s="12">
        <v>0</v>
      </c>
      <c r="BA25" t="s">
        <v>64</v>
      </c>
      <c r="BB25" t="s">
        <v>349</v>
      </c>
      <c r="BD25">
        <v>5</v>
      </c>
      <c r="BE25" s="10">
        <v>5</v>
      </c>
      <c r="BF25" s="10">
        <v>4</v>
      </c>
      <c r="BG25" t="str">
        <f>VLOOKUP(Table1[[#This Row],[کد فروشگاه]],'[1]شعب فعال'!$C:$F,4,0)</f>
        <v>مرتضی رضایی</v>
      </c>
    </row>
    <row r="26" spans="1:59">
      <c r="A26" t="s">
        <v>58</v>
      </c>
      <c r="B26" t="s">
        <v>59</v>
      </c>
      <c r="C26" t="s">
        <v>58</v>
      </c>
      <c r="D26" t="s">
        <v>81</v>
      </c>
      <c r="E26" s="10">
        <v>14050709</v>
      </c>
      <c r="F26" t="s">
        <v>82</v>
      </c>
      <c r="G26" t="s">
        <v>63</v>
      </c>
      <c r="H26" s="11">
        <v>734802131</v>
      </c>
      <c r="I26" s="11">
        <v>103693143</v>
      </c>
      <c r="J26" s="11">
        <v>631108988</v>
      </c>
      <c r="K26" s="12">
        <v>0.14111709618871501</v>
      </c>
      <c r="L26" s="11">
        <v>67171525.000100002</v>
      </c>
      <c r="M26" s="11">
        <v>170864668</v>
      </c>
      <c r="N26" s="11">
        <v>563937463</v>
      </c>
      <c r="O26" s="11">
        <v>531514360</v>
      </c>
      <c r="P26" s="11">
        <v>598685885.00010002</v>
      </c>
      <c r="Q26" s="11">
        <v>563937463</v>
      </c>
      <c r="R26" s="11">
        <v>12454273.406779701</v>
      </c>
      <c r="S26" s="11">
        <v>10696762.5084746</v>
      </c>
      <c r="T26" s="11">
        <v>9558262.0847457591</v>
      </c>
      <c r="U26" s="12">
        <v>9.1414439446729306E-2</v>
      </c>
      <c r="V26" s="11">
        <v>59</v>
      </c>
      <c r="W26" s="11">
        <v>59</v>
      </c>
      <c r="X26" s="10">
        <v>49</v>
      </c>
      <c r="Y26" s="10">
        <v>48</v>
      </c>
      <c r="Z26" s="12">
        <v>1</v>
      </c>
      <c r="AA26">
        <v>0.83050847457627097</v>
      </c>
      <c r="AB26">
        <v>8.3389830508474603</v>
      </c>
      <c r="AC26">
        <v>4.5932203389830502</v>
      </c>
      <c r="AD26" s="11">
        <v>0</v>
      </c>
      <c r="AE26" s="13">
        <v>0</v>
      </c>
      <c r="AF26" s="11">
        <v>0</v>
      </c>
      <c r="AG26" s="11">
        <v>1</v>
      </c>
      <c r="AH26" s="12">
        <v>1.6949152542372899E-2</v>
      </c>
      <c r="AI26" s="12">
        <v>0</v>
      </c>
      <c r="AJ26" s="13">
        <v>0</v>
      </c>
      <c r="AK26" s="11">
        <v>0</v>
      </c>
      <c r="AL26" s="13">
        <v>0</v>
      </c>
      <c r="AM26" s="11">
        <v>0</v>
      </c>
      <c r="AN26" s="11">
        <v>1</v>
      </c>
      <c r="AO26" s="12">
        <v>1.6949152542372899E-2</v>
      </c>
      <c r="AP26" s="11">
        <v>3</v>
      </c>
      <c r="AQ26" s="12">
        <v>6.1224489795918401E-2</v>
      </c>
      <c r="AS26" s="11">
        <v>0</v>
      </c>
      <c r="AT26">
        <v>2.57833333333333</v>
      </c>
      <c r="AU26">
        <v>1.4386666666666701</v>
      </c>
      <c r="AV26" s="14">
        <v>4.0170000000000003</v>
      </c>
      <c r="AW26" s="11">
        <v>0</v>
      </c>
      <c r="AX26" s="12">
        <v>0</v>
      </c>
      <c r="AY26" s="11">
        <v>0</v>
      </c>
      <c r="AZ26" s="12">
        <v>0</v>
      </c>
      <c r="BA26" t="s">
        <v>64</v>
      </c>
      <c r="BB26" t="s">
        <v>348</v>
      </c>
      <c r="BD26">
        <v>5</v>
      </c>
      <c r="BE26" s="10">
        <v>5</v>
      </c>
      <c r="BF26" s="10">
        <v>4</v>
      </c>
      <c r="BG26" t="str">
        <f>VLOOKUP(Table1[[#This Row],[کد فروشگاه]],'[1]شعب فعال'!$C:$F,4,0)</f>
        <v>محمد کاظم بستامی</v>
      </c>
    </row>
    <row r="27" spans="1:59">
      <c r="A27" t="s">
        <v>58</v>
      </c>
      <c r="B27" t="s">
        <v>59</v>
      </c>
      <c r="C27" t="s">
        <v>58</v>
      </c>
      <c r="D27" t="s">
        <v>83</v>
      </c>
      <c r="E27" s="10">
        <v>14050709</v>
      </c>
      <c r="F27" t="s">
        <v>84</v>
      </c>
      <c r="G27" t="s">
        <v>63</v>
      </c>
      <c r="H27" s="11">
        <v>287212755</v>
      </c>
      <c r="I27" s="11">
        <v>53510756</v>
      </c>
      <c r="J27" s="11">
        <v>233701999</v>
      </c>
      <c r="K27" s="12">
        <v>0.186310513960287</v>
      </c>
      <c r="L27" s="11">
        <v>21029474.0002</v>
      </c>
      <c r="M27" s="11">
        <v>74540230</v>
      </c>
      <c r="N27" s="11">
        <v>212672525</v>
      </c>
      <c r="O27" s="11">
        <v>198087714</v>
      </c>
      <c r="P27" s="11">
        <v>219117188.0002</v>
      </c>
      <c r="Q27" s="11">
        <v>212672525</v>
      </c>
      <c r="R27" s="11">
        <v>28721275.5</v>
      </c>
      <c r="S27" s="11">
        <v>23370199.899999999</v>
      </c>
      <c r="T27" s="11">
        <v>21267252.5</v>
      </c>
      <c r="U27" s="12">
        <v>7.3219150477919007E-2</v>
      </c>
      <c r="V27" s="11">
        <v>10</v>
      </c>
      <c r="W27" s="11">
        <v>10</v>
      </c>
      <c r="X27" s="10">
        <v>6</v>
      </c>
      <c r="Y27" s="10">
        <v>6</v>
      </c>
      <c r="Z27" s="12">
        <v>1</v>
      </c>
      <c r="AA27">
        <v>0.6</v>
      </c>
      <c r="AB27">
        <v>19.8</v>
      </c>
      <c r="AC27">
        <v>8.5</v>
      </c>
      <c r="AD27" s="11">
        <v>0</v>
      </c>
      <c r="AE27" s="13">
        <v>0</v>
      </c>
      <c r="AF27" s="11">
        <v>0</v>
      </c>
      <c r="AG27" s="11">
        <v>0</v>
      </c>
      <c r="AH27" s="12">
        <v>0</v>
      </c>
      <c r="AI27" s="12"/>
      <c r="AJ27" s="13"/>
      <c r="AK27" s="11">
        <v>1</v>
      </c>
      <c r="AL27" s="13">
        <v>0.1</v>
      </c>
      <c r="AM27" s="11">
        <v>0</v>
      </c>
      <c r="AN27" s="11">
        <v>2</v>
      </c>
      <c r="AO27" s="12">
        <v>0.2</v>
      </c>
      <c r="AP27" s="11">
        <v>0</v>
      </c>
      <c r="AQ27" s="12">
        <v>0</v>
      </c>
      <c r="AS27" s="11">
        <v>0</v>
      </c>
      <c r="AT27">
        <v>1.00833333333333</v>
      </c>
      <c r="AU27">
        <v>3.58666666666667</v>
      </c>
      <c r="AV27" s="14">
        <v>4.5949999999999998</v>
      </c>
      <c r="AW27" s="11">
        <v>0</v>
      </c>
      <c r="AX27" s="12">
        <v>0</v>
      </c>
      <c r="AY27" s="11">
        <v>0</v>
      </c>
      <c r="AZ27" s="12">
        <v>0</v>
      </c>
      <c r="BA27" t="s">
        <v>64</v>
      </c>
      <c r="BB27" t="s">
        <v>71</v>
      </c>
      <c r="BD27">
        <v>5</v>
      </c>
      <c r="BE27" s="10">
        <v>4</v>
      </c>
      <c r="BF27" s="10">
        <v>4</v>
      </c>
      <c r="BG27" t="str">
        <f>VLOOKUP(Table1[[#This Row],[کد فروشگاه]],'[1]شعب فعال'!$C:$F,4,0)</f>
        <v>سامان بسطامی</v>
      </c>
    </row>
    <row r="28" spans="1:59">
      <c r="A28" t="s">
        <v>58</v>
      </c>
      <c r="B28" t="s">
        <v>59</v>
      </c>
      <c r="C28" t="s">
        <v>58</v>
      </c>
      <c r="D28" t="s">
        <v>85</v>
      </c>
      <c r="E28" s="10">
        <v>14050709</v>
      </c>
      <c r="F28" t="s">
        <v>86</v>
      </c>
      <c r="G28" t="s">
        <v>63</v>
      </c>
      <c r="H28" s="11">
        <v>815300105</v>
      </c>
      <c r="I28" s="11">
        <v>124474279</v>
      </c>
      <c r="J28" s="11">
        <v>690825826</v>
      </c>
      <c r="K28" s="12">
        <v>0.152672958382607</v>
      </c>
      <c r="L28" s="11">
        <v>77098256.000400007</v>
      </c>
      <c r="M28" s="11">
        <v>201572536</v>
      </c>
      <c r="N28" s="11">
        <v>613727569</v>
      </c>
      <c r="O28" s="11">
        <v>578223491</v>
      </c>
      <c r="P28" s="11">
        <v>655321747.00039995</v>
      </c>
      <c r="Q28" s="11">
        <v>613727569</v>
      </c>
      <c r="R28" s="11">
        <v>12353031.8939394</v>
      </c>
      <c r="S28" s="11">
        <v>10467057.969697</v>
      </c>
      <c r="T28" s="11">
        <v>9298902.5606060605</v>
      </c>
      <c r="U28" s="12">
        <v>9.4564265886750001E-2</v>
      </c>
      <c r="V28" s="11">
        <v>66</v>
      </c>
      <c r="W28" s="11">
        <v>66</v>
      </c>
      <c r="X28" s="10">
        <v>49</v>
      </c>
      <c r="Y28" s="10">
        <v>48</v>
      </c>
      <c r="Z28" s="12">
        <v>1</v>
      </c>
      <c r="AA28">
        <v>0.74242424242424199</v>
      </c>
      <c r="AB28">
        <v>6.8484848484848504</v>
      </c>
      <c r="AC28">
        <v>4.3333333333333304</v>
      </c>
      <c r="AD28" s="11">
        <v>0</v>
      </c>
      <c r="AE28" s="13">
        <v>0</v>
      </c>
      <c r="AF28" s="11">
        <v>0</v>
      </c>
      <c r="AG28" s="11">
        <v>0</v>
      </c>
      <c r="AH28" s="12">
        <v>0</v>
      </c>
      <c r="AI28" s="12"/>
      <c r="AJ28" s="13"/>
      <c r="AK28" s="11">
        <v>0</v>
      </c>
      <c r="AL28" s="13">
        <v>0</v>
      </c>
      <c r="AM28" s="11">
        <v>0</v>
      </c>
      <c r="AN28" s="11">
        <v>2</v>
      </c>
      <c r="AO28" s="12">
        <v>3.03030303030303E-2</v>
      </c>
      <c r="AP28" s="11">
        <v>0</v>
      </c>
      <c r="AQ28" s="12">
        <v>0</v>
      </c>
      <c r="AS28" s="11">
        <v>0</v>
      </c>
      <c r="AT28">
        <v>1.6062893081761001</v>
      </c>
      <c r="AU28">
        <v>1.8323899371069201</v>
      </c>
      <c r="AV28" s="14">
        <v>3.4386792452830202</v>
      </c>
      <c r="AW28" s="11">
        <v>0</v>
      </c>
      <c r="AX28" s="12">
        <v>0</v>
      </c>
      <c r="AY28" s="11">
        <v>0</v>
      </c>
      <c r="AZ28" s="12">
        <v>0</v>
      </c>
      <c r="BA28" t="s">
        <v>64</v>
      </c>
      <c r="BB28" t="s">
        <v>65</v>
      </c>
      <c r="BD28">
        <v>4</v>
      </c>
      <c r="BE28" s="10">
        <v>5</v>
      </c>
      <c r="BF28" s="10">
        <v>5</v>
      </c>
      <c r="BG28" t="str">
        <f>VLOOKUP(Table1[[#This Row],[کد فروشگاه]],'[1]شعب فعال'!$C:$F,4,0)</f>
        <v>محسن ملکی</v>
      </c>
    </row>
    <row r="29" spans="1:59">
      <c r="A29" t="s">
        <v>58</v>
      </c>
      <c r="B29" t="s">
        <v>59</v>
      </c>
      <c r="C29" t="s">
        <v>58</v>
      </c>
      <c r="D29" t="s">
        <v>87</v>
      </c>
      <c r="E29" s="10">
        <v>14050709</v>
      </c>
      <c r="F29" t="s">
        <v>88</v>
      </c>
      <c r="G29" t="s">
        <v>63</v>
      </c>
      <c r="H29" s="11">
        <v>1695283529</v>
      </c>
      <c r="I29" s="11">
        <v>279729011</v>
      </c>
      <c r="J29" s="11">
        <v>1415554518</v>
      </c>
      <c r="K29" s="12">
        <v>0.16500426401535601</v>
      </c>
      <c r="L29" s="11">
        <v>151534074.00040001</v>
      </c>
      <c r="M29" s="11">
        <v>431263085</v>
      </c>
      <c r="N29" s="11">
        <v>1264020444</v>
      </c>
      <c r="O29" s="11">
        <v>1196934739</v>
      </c>
      <c r="P29" s="11">
        <v>1348468813.0004001</v>
      </c>
      <c r="Q29" s="11">
        <v>1264020444</v>
      </c>
      <c r="R29" s="11">
        <v>11080284.503268</v>
      </c>
      <c r="S29" s="11">
        <v>9251990.3137254901</v>
      </c>
      <c r="T29" s="11">
        <v>8261571.5294117602</v>
      </c>
      <c r="U29" s="12">
        <v>8.9385681698745098E-2</v>
      </c>
      <c r="V29" s="11">
        <v>153</v>
      </c>
      <c r="W29" s="11">
        <v>153</v>
      </c>
      <c r="X29" s="10">
        <v>119</v>
      </c>
      <c r="Y29" s="10">
        <v>119</v>
      </c>
      <c r="Z29" s="12">
        <v>1</v>
      </c>
      <c r="AA29">
        <v>0.77777777777777801</v>
      </c>
      <c r="AB29">
        <v>6.18954248366013</v>
      </c>
      <c r="AC29">
        <v>4.4444444444444402</v>
      </c>
      <c r="AD29" s="11">
        <v>0</v>
      </c>
      <c r="AE29" s="13">
        <v>0</v>
      </c>
      <c r="AF29" s="11">
        <v>0</v>
      </c>
      <c r="AG29" s="11">
        <v>1</v>
      </c>
      <c r="AH29" s="12">
        <v>6.5359477124183E-3</v>
      </c>
      <c r="AI29" s="12">
        <v>0</v>
      </c>
      <c r="AJ29" s="13">
        <v>0</v>
      </c>
      <c r="AK29" s="11">
        <v>0</v>
      </c>
      <c r="AL29" s="13">
        <v>0</v>
      </c>
      <c r="AM29" s="11">
        <v>0</v>
      </c>
      <c r="AN29" s="11">
        <v>1</v>
      </c>
      <c r="AO29" s="12">
        <v>6.5359477124183E-3</v>
      </c>
      <c r="AP29" s="11">
        <v>1</v>
      </c>
      <c r="AQ29" s="12">
        <v>8.4033613445378096E-3</v>
      </c>
      <c r="AS29" s="11">
        <v>0</v>
      </c>
      <c r="AT29">
        <v>1.34756097560976</v>
      </c>
      <c r="AU29">
        <v>1.4672086720867199</v>
      </c>
      <c r="AV29" s="14">
        <v>2.8147696476964801</v>
      </c>
      <c r="AW29" s="11">
        <v>0</v>
      </c>
      <c r="AX29" s="12">
        <v>0</v>
      </c>
      <c r="AY29" s="11">
        <v>0</v>
      </c>
      <c r="AZ29" s="12">
        <v>0</v>
      </c>
      <c r="BA29" t="s">
        <v>64</v>
      </c>
      <c r="BB29" t="s">
        <v>347</v>
      </c>
      <c r="BD29">
        <v>5</v>
      </c>
      <c r="BE29" s="10">
        <v>5</v>
      </c>
      <c r="BF29" s="10">
        <v>4</v>
      </c>
      <c r="BG29" t="str">
        <f>VLOOKUP(Table1[[#This Row],[کد فروشگاه]],'[1]شعب فعال'!$C:$F,4,0)</f>
        <v>علی ابراهیمی نیا</v>
      </c>
    </row>
    <row r="30" spans="1:59">
      <c r="A30" t="s">
        <v>58</v>
      </c>
      <c r="B30" t="s">
        <v>59</v>
      </c>
      <c r="C30" t="s">
        <v>58</v>
      </c>
      <c r="D30" t="s">
        <v>90</v>
      </c>
      <c r="E30" s="10">
        <v>14050709</v>
      </c>
      <c r="F30" t="s">
        <v>91</v>
      </c>
      <c r="G30" t="s">
        <v>63</v>
      </c>
      <c r="H30" s="11">
        <v>1338876974</v>
      </c>
      <c r="I30" s="11">
        <v>254084824</v>
      </c>
      <c r="J30" s="11">
        <v>1084792150</v>
      </c>
      <c r="K30" s="12">
        <v>0.18977458641394199</v>
      </c>
      <c r="L30" s="11">
        <v>129923466.99950001</v>
      </c>
      <c r="M30" s="11">
        <v>384008290</v>
      </c>
      <c r="N30" s="11">
        <v>954868683</v>
      </c>
      <c r="O30" s="11">
        <v>905939432</v>
      </c>
      <c r="P30" s="11">
        <v>1035862898.9995</v>
      </c>
      <c r="Q30" s="11">
        <v>954868683</v>
      </c>
      <c r="R30" s="11">
        <v>11642408.4695652</v>
      </c>
      <c r="S30" s="11">
        <v>9432975.2173912991</v>
      </c>
      <c r="T30" s="11">
        <v>8303205.9391304301</v>
      </c>
      <c r="U30" s="12">
        <v>9.7039137595477207E-2</v>
      </c>
      <c r="V30" s="11">
        <v>115</v>
      </c>
      <c r="W30" s="11">
        <v>115</v>
      </c>
      <c r="X30" s="10">
        <v>91</v>
      </c>
      <c r="Y30" s="10">
        <v>91</v>
      </c>
      <c r="Z30" s="12">
        <v>1</v>
      </c>
      <c r="AA30">
        <v>0.79130434782608705</v>
      </c>
      <c r="AB30">
        <v>6.6782608695652197</v>
      </c>
      <c r="AC30">
        <v>4.9391304347826104</v>
      </c>
      <c r="AD30" s="11">
        <v>0</v>
      </c>
      <c r="AE30" s="13">
        <v>0</v>
      </c>
      <c r="AF30" s="11">
        <v>0</v>
      </c>
      <c r="AG30" s="11">
        <v>0</v>
      </c>
      <c r="AH30" s="12">
        <v>0</v>
      </c>
      <c r="AI30" s="12"/>
      <c r="AJ30" s="13"/>
      <c r="AK30" s="11">
        <v>0</v>
      </c>
      <c r="AL30" s="13">
        <v>0</v>
      </c>
      <c r="AM30" s="11">
        <v>0</v>
      </c>
      <c r="AN30" s="11">
        <v>1</v>
      </c>
      <c r="AO30" s="12">
        <v>8.6956521739130401E-3</v>
      </c>
      <c r="AP30" s="11">
        <v>0</v>
      </c>
      <c r="AQ30" s="12">
        <v>0</v>
      </c>
      <c r="AS30" s="11">
        <v>0</v>
      </c>
      <c r="AT30">
        <v>1.0885964912280699</v>
      </c>
      <c r="AU30">
        <v>1.42929824561404</v>
      </c>
      <c r="AV30" s="14">
        <v>2.5178947368421101</v>
      </c>
      <c r="AW30" s="11">
        <v>0</v>
      </c>
      <c r="AX30" s="12">
        <v>0</v>
      </c>
      <c r="AY30" s="11">
        <v>0</v>
      </c>
      <c r="AZ30" s="12">
        <v>0</v>
      </c>
      <c r="BA30" t="s">
        <v>64</v>
      </c>
      <c r="BB30" t="s">
        <v>68</v>
      </c>
      <c r="BD30">
        <v>5</v>
      </c>
      <c r="BE30" s="10">
        <v>5</v>
      </c>
      <c r="BF30" s="10">
        <v>5</v>
      </c>
      <c r="BG30" t="str">
        <f>VLOOKUP(Table1[[#This Row],[کد فروشگاه]],'[1]شعب فعال'!$C:$F,4,0)</f>
        <v>مصطفی سیفی</v>
      </c>
    </row>
    <row r="31" spans="1:59">
      <c r="A31" t="s">
        <v>58</v>
      </c>
      <c r="B31" t="s">
        <v>59</v>
      </c>
      <c r="C31" t="s">
        <v>58</v>
      </c>
      <c r="D31" t="s">
        <v>92</v>
      </c>
      <c r="E31" s="10">
        <v>14050709</v>
      </c>
      <c r="F31" t="s">
        <v>93</v>
      </c>
      <c r="G31" t="s">
        <v>63</v>
      </c>
      <c r="H31" s="11">
        <v>1000805900</v>
      </c>
      <c r="I31" s="11">
        <v>153556842</v>
      </c>
      <c r="J31" s="11">
        <v>847249058</v>
      </c>
      <c r="K31" s="12">
        <v>0.153433190192024</v>
      </c>
      <c r="L31" s="11">
        <v>93218452.0009</v>
      </c>
      <c r="M31" s="11">
        <v>246775295</v>
      </c>
      <c r="N31" s="11">
        <v>754030605</v>
      </c>
      <c r="O31" s="11">
        <v>712535033</v>
      </c>
      <c r="P31" s="11">
        <v>805753485.00090003</v>
      </c>
      <c r="Q31" s="11">
        <v>754030605</v>
      </c>
      <c r="R31" s="11">
        <v>9531484.7619047593</v>
      </c>
      <c r="S31" s="11">
        <v>8069038.64761905</v>
      </c>
      <c r="T31" s="11">
        <v>7181243.8571428601</v>
      </c>
      <c r="U31" s="12">
        <v>9.3143387652206602E-2</v>
      </c>
      <c r="V31" s="11">
        <v>105</v>
      </c>
      <c r="W31" s="11">
        <v>105</v>
      </c>
      <c r="X31" s="10">
        <v>83</v>
      </c>
      <c r="Y31" s="10">
        <v>79</v>
      </c>
      <c r="Z31" s="12">
        <v>1</v>
      </c>
      <c r="AA31">
        <v>0.79047619047619</v>
      </c>
      <c r="AB31">
        <v>6.3428571428571399</v>
      </c>
      <c r="AC31">
        <v>4.1523809523809501</v>
      </c>
      <c r="AD31" s="11">
        <v>0</v>
      </c>
      <c r="AE31" s="13">
        <v>0</v>
      </c>
      <c r="AF31" s="11">
        <v>0</v>
      </c>
      <c r="AG31" s="11">
        <v>1</v>
      </c>
      <c r="AH31" s="12">
        <v>9.5238095238095195E-3</v>
      </c>
      <c r="AI31" s="12">
        <v>0</v>
      </c>
      <c r="AJ31" s="13">
        <v>0</v>
      </c>
      <c r="AK31" s="11">
        <v>0</v>
      </c>
      <c r="AL31" s="13">
        <v>0</v>
      </c>
      <c r="AM31" s="11">
        <v>0</v>
      </c>
      <c r="AN31" s="11">
        <v>5</v>
      </c>
      <c r="AO31" s="12">
        <v>4.7619047619047603E-2</v>
      </c>
      <c r="AP31" s="11">
        <v>1</v>
      </c>
      <c r="AQ31" s="12">
        <v>1.20481927710843E-2</v>
      </c>
      <c r="AS31" s="11">
        <v>0</v>
      </c>
      <c r="AT31">
        <v>1.70980392156863</v>
      </c>
      <c r="AU31">
        <v>1.45274509803922</v>
      </c>
      <c r="AV31" s="14">
        <v>3.1625490196078401</v>
      </c>
      <c r="AW31" s="11">
        <v>0</v>
      </c>
      <c r="AX31" s="12">
        <v>0</v>
      </c>
      <c r="AY31" s="11">
        <v>0</v>
      </c>
      <c r="AZ31" s="12">
        <v>0</v>
      </c>
      <c r="BA31" t="s">
        <v>64</v>
      </c>
      <c r="BB31" t="s">
        <v>71</v>
      </c>
      <c r="BD31">
        <v>5</v>
      </c>
      <c r="BE31" s="10">
        <v>5</v>
      </c>
      <c r="BF31" s="10">
        <v>5</v>
      </c>
      <c r="BG31" t="str">
        <f>VLOOKUP(Table1[[#This Row],[کد فروشگاه]],'[1]شعب فعال'!$C:$F,4,0)</f>
        <v>سامان بسطامی</v>
      </c>
    </row>
    <row r="32" spans="1:59">
      <c r="A32" t="s">
        <v>58</v>
      </c>
      <c r="B32" t="s">
        <v>59</v>
      </c>
      <c r="C32" t="s">
        <v>351</v>
      </c>
      <c r="D32" t="s">
        <v>94</v>
      </c>
      <c r="E32" s="10">
        <v>14050709</v>
      </c>
      <c r="F32" t="s">
        <v>95</v>
      </c>
      <c r="G32" t="s">
        <v>63</v>
      </c>
      <c r="H32" s="11">
        <v>350932131</v>
      </c>
      <c r="I32" s="11">
        <v>86934452</v>
      </c>
      <c r="J32" s="11">
        <v>263997680</v>
      </c>
      <c r="K32" s="12">
        <v>0.24772440116063399</v>
      </c>
      <c r="L32" s="11">
        <v>20835440</v>
      </c>
      <c r="M32" s="11">
        <v>107769892</v>
      </c>
      <c r="N32" s="11">
        <v>243162239</v>
      </c>
      <c r="O32" s="11">
        <v>231310689</v>
      </c>
      <c r="P32" s="11">
        <v>252146129</v>
      </c>
      <c r="Q32" s="11">
        <v>243162239</v>
      </c>
      <c r="R32" s="11">
        <v>14037285.24</v>
      </c>
      <c r="S32" s="11">
        <v>10559907.199999999</v>
      </c>
      <c r="T32" s="11">
        <v>9726489.5600000005</v>
      </c>
      <c r="U32" s="12">
        <v>5.93717078040445E-2</v>
      </c>
      <c r="V32" s="11">
        <v>25</v>
      </c>
      <c r="W32" s="11">
        <v>25</v>
      </c>
      <c r="X32" s="10">
        <v>25</v>
      </c>
      <c r="Y32" s="10">
        <v>25</v>
      </c>
      <c r="Z32" s="12">
        <v>1</v>
      </c>
      <c r="AA32">
        <v>1</v>
      </c>
      <c r="AB32">
        <v>7.68</v>
      </c>
      <c r="AC32">
        <v>4.6399999999999997</v>
      </c>
      <c r="AD32" s="11">
        <v>0</v>
      </c>
      <c r="AE32" s="13">
        <v>0</v>
      </c>
      <c r="AF32" s="11">
        <v>0</v>
      </c>
      <c r="AG32" s="11">
        <v>0</v>
      </c>
      <c r="AH32" s="12">
        <v>0</v>
      </c>
      <c r="AI32" s="12"/>
      <c r="AJ32" s="13"/>
      <c r="AK32" s="11">
        <v>0</v>
      </c>
      <c r="AL32" s="13">
        <v>0</v>
      </c>
      <c r="AM32" s="11">
        <v>0</v>
      </c>
      <c r="AN32" s="11">
        <v>0</v>
      </c>
      <c r="AO32" s="12">
        <v>0</v>
      </c>
      <c r="AP32" s="11">
        <v>0</v>
      </c>
      <c r="AQ32" s="12">
        <v>0</v>
      </c>
      <c r="AS32" s="11">
        <v>0</v>
      </c>
      <c r="AT32">
        <v>0.43333333333333302</v>
      </c>
      <c r="AU32">
        <v>1.8553333333333299</v>
      </c>
      <c r="AV32" s="14">
        <v>2.28866666666667</v>
      </c>
      <c r="AW32" s="11">
        <v>0</v>
      </c>
      <c r="AX32" s="12">
        <v>0</v>
      </c>
      <c r="AY32" s="11">
        <v>0</v>
      </c>
      <c r="AZ32" s="12">
        <v>0</v>
      </c>
      <c r="BA32" t="s">
        <v>64</v>
      </c>
      <c r="BB32" t="s">
        <v>96</v>
      </c>
      <c r="BD32">
        <v>3</v>
      </c>
      <c r="BE32" s="10">
        <v>4</v>
      </c>
      <c r="BF32" s="10">
        <v>4</v>
      </c>
      <c r="BG32" t="str">
        <f>VLOOKUP(Table1[[#This Row],[کد فروشگاه]],'[1]شعب فعال'!$C:$F,4,0)</f>
        <v xml:space="preserve">میثم جلالوند </v>
      </c>
    </row>
    <row r="33" spans="1:59">
      <c r="A33" t="s">
        <v>58</v>
      </c>
      <c r="B33" t="s">
        <v>59</v>
      </c>
      <c r="C33" t="s">
        <v>351</v>
      </c>
      <c r="D33" t="s">
        <v>97</v>
      </c>
      <c r="E33" s="10">
        <v>14050709</v>
      </c>
      <c r="F33" t="s">
        <v>98</v>
      </c>
      <c r="G33" t="s">
        <v>63</v>
      </c>
      <c r="H33" s="11">
        <v>346996293</v>
      </c>
      <c r="I33" s="11">
        <v>66180494</v>
      </c>
      <c r="J33" s="11">
        <v>280815799</v>
      </c>
      <c r="K33" s="12">
        <v>0.19072392222933601</v>
      </c>
      <c r="L33" s="11">
        <v>30515745.999299999</v>
      </c>
      <c r="M33" s="11">
        <v>96696239</v>
      </c>
      <c r="N33" s="11">
        <v>250300053</v>
      </c>
      <c r="O33" s="11">
        <v>238570036</v>
      </c>
      <c r="P33" s="11">
        <v>269085781.9993</v>
      </c>
      <c r="Q33" s="11">
        <v>250300053</v>
      </c>
      <c r="R33" s="11">
        <v>9638785.9166666698</v>
      </c>
      <c r="S33" s="11">
        <v>7800438.8611111101</v>
      </c>
      <c r="T33" s="11">
        <v>6952779.25</v>
      </c>
      <c r="U33" s="12">
        <v>8.7942570359147099E-2</v>
      </c>
      <c r="V33" s="11">
        <v>36</v>
      </c>
      <c r="W33" s="11">
        <v>36</v>
      </c>
      <c r="X33" s="10">
        <v>35</v>
      </c>
      <c r="Y33" s="10">
        <v>35</v>
      </c>
      <c r="Z33" s="12">
        <v>1</v>
      </c>
      <c r="AA33">
        <v>0.97222222222222199</v>
      </c>
      <c r="AB33">
        <v>7.1388888888888902</v>
      </c>
      <c r="AC33">
        <v>4.8611111111111098</v>
      </c>
      <c r="AD33" s="11">
        <v>0</v>
      </c>
      <c r="AE33" s="13">
        <v>0</v>
      </c>
      <c r="AF33" s="11">
        <v>0</v>
      </c>
      <c r="AG33" s="11">
        <v>0</v>
      </c>
      <c r="AH33" s="12">
        <v>0</v>
      </c>
      <c r="AI33" s="12"/>
      <c r="AJ33" s="13"/>
      <c r="AK33" s="11">
        <v>0</v>
      </c>
      <c r="AL33" s="13">
        <v>0</v>
      </c>
      <c r="AM33" s="11">
        <v>0</v>
      </c>
      <c r="AN33" s="11">
        <v>0</v>
      </c>
      <c r="AO33" s="12">
        <v>0</v>
      </c>
      <c r="AP33" s="11">
        <v>0</v>
      </c>
      <c r="AQ33" s="12">
        <v>0</v>
      </c>
      <c r="AS33" s="11">
        <v>0</v>
      </c>
      <c r="AT33">
        <v>16.7828571428571</v>
      </c>
      <c r="AU33">
        <v>1.9509523809523801</v>
      </c>
      <c r="AV33" s="14">
        <v>18.733809523809501</v>
      </c>
      <c r="AW33" s="11">
        <v>0</v>
      </c>
      <c r="AX33" s="12">
        <v>0</v>
      </c>
      <c r="AY33" s="11">
        <v>0</v>
      </c>
      <c r="AZ33" s="12">
        <v>0</v>
      </c>
      <c r="BA33" t="s">
        <v>64</v>
      </c>
      <c r="BB33" t="s">
        <v>96</v>
      </c>
      <c r="BD33">
        <v>4</v>
      </c>
      <c r="BE33" s="10">
        <v>4</v>
      </c>
      <c r="BF33" s="10">
        <v>4</v>
      </c>
      <c r="BG33" t="str">
        <f>VLOOKUP(Table1[[#This Row],[کد فروشگاه]],'[1]شعب فعال'!$C:$F,4,0)</f>
        <v xml:space="preserve">میثم جلالوند </v>
      </c>
    </row>
    <row r="34" spans="1:59">
      <c r="A34" t="s">
        <v>58</v>
      </c>
      <c r="B34" t="s">
        <v>59</v>
      </c>
      <c r="C34" t="s">
        <v>353</v>
      </c>
      <c r="D34" t="s">
        <v>161</v>
      </c>
      <c r="E34" s="10">
        <v>14050709</v>
      </c>
      <c r="F34" t="s">
        <v>147</v>
      </c>
      <c r="G34" t="s">
        <v>63</v>
      </c>
      <c r="H34" s="11">
        <v>344596884</v>
      </c>
      <c r="I34" s="11">
        <v>64015386</v>
      </c>
      <c r="J34" s="11">
        <v>280581498</v>
      </c>
      <c r="K34" s="12">
        <v>0.18576890555980799</v>
      </c>
      <c r="L34" s="11">
        <v>29699699.999600001</v>
      </c>
      <c r="M34" s="11">
        <v>93715085</v>
      </c>
      <c r="N34" s="11">
        <v>250881798</v>
      </c>
      <c r="O34" s="11">
        <v>236485277</v>
      </c>
      <c r="P34" s="11">
        <v>266184976.99959999</v>
      </c>
      <c r="Q34" s="11">
        <v>250881798</v>
      </c>
      <c r="R34" s="11">
        <v>10442329.8181818</v>
      </c>
      <c r="S34" s="11">
        <v>8502469.6363636404</v>
      </c>
      <c r="T34" s="11">
        <v>7602478.7272727303</v>
      </c>
      <c r="U34" s="12">
        <v>8.6186791850495298E-2</v>
      </c>
      <c r="V34" s="11">
        <v>33</v>
      </c>
      <c r="W34" s="11">
        <v>33</v>
      </c>
      <c r="X34" s="10">
        <v>31</v>
      </c>
      <c r="Y34" s="10">
        <v>31</v>
      </c>
      <c r="Z34" s="12">
        <v>1</v>
      </c>
      <c r="AA34">
        <v>0.939393939393939</v>
      </c>
      <c r="AB34">
        <v>6.51515151515152</v>
      </c>
      <c r="AC34">
        <v>4.5757575757575797</v>
      </c>
      <c r="AD34" s="11">
        <v>0</v>
      </c>
      <c r="AE34" s="13">
        <v>0</v>
      </c>
      <c r="AF34" s="11">
        <v>0</v>
      </c>
      <c r="AG34" s="11">
        <v>0</v>
      </c>
      <c r="AH34" s="12">
        <v>0</v>
      </c>
      <c r="AI34" s="12"/>
      <c r="AJ34" s="13"/>
      <c r="AK34" s="11">
        <v>0</v>
      </c>
      <c r="AL34" s="13">
        <v>0</v>
      </c>
      <c r="AM34" s="11">
        <v>0</v>
      </c>
      <c r="AN34" s="11">
        <v>0</v>
      </c>
      <c r="AO34" s="12">
        <v>0</v>
      </c>
      <c r="AP34" s="11">
        <v>0</v>
      </c>
      <c r="AQ34" s="12">
        <v>0</v>
      </c>
      <c r="AS34" s="11">
        <v>0</v>
      </c>
      <c r="AT34">
        <v>0.86612903225806503</v>
      </c>
      <c r="AU34">
        <v>1.2666666666666699</v>
      </c>
      <c r="AV34" s="14">
        <v>2.1327956989247299</v>
      </c>
      <c r="AW34" s="11">
        <v>0</v>
      </c>
      <c r="AX34" s="12">
        <v>0</v>
      </c>
      <c r="AY34" s="11">
        <v>0</v>
      </c>
      <c r="AZ34" s="12">
        <v>0</v>
      </c>
      <c r="BA34" t="s">
        <v>64</v>
      </c>
      <c r="BB34" t="s">
        <v>189</v>
      </c>
      <c r="BE34" s="10"/>
      <c r="BF34" s="10"/>
      <c r="BG34" t="str">
        <f>VLOOKUP(Table1[[#This Row],[کد فروشگاه]],'[1]شعب فعال'!$C:$F,4,0)</f>
        <v xml:space="preserve">فیاض رحیم زاده </v>
      </c>
    </row>
    <row r="35" spans="1:59">
      <c r="A35" t="s">
        <v>58</v>
      </c>
      <c r="B35" t="s">
        <v>59</v>
      </c>
      <c r="C35" t="s">
        <v>353</v>
      </c>
      <c r="D35" t="s">
        <v>152</v>
      </c>
      <c r="E35" s="10">
        <v>14050709</v>
      </c>
      <c r="F35" t="s">
        <v>149</v>
      </c>
      <c r="G35" t="s">
        <v>63</v>
      </c>
      <c r="H35" s="11">
        <v>562200939</v>
      </c>
      <c r="I35" s="11">
        <v>108681916</v>
      </c>
      <c r="J35" s="11">
        <v>453519023</v>
      </c>
      <c r="K35" s="12">
        <v>0.19331507377649501</v>
      </c>
      <c r="L35" s="11">
        <v>38906465.999600001</v>
      </c>
      <c r="M35" s="11">
        <v>147588381</v>
      </c>
      <c r="N35" s="11">
        <v>414612557</v>
      </c>
      <c r="O35" s="11">
        <v>392919785</v>
      </c>
      <c r="P35" s="11">
        <v>431826250.99959999</v>
      </c>
      <c r="Q35" s="11">
        <v>414612557</v>
      </c>
      <c r="R35" s="11">
        <v>9863174.3684210498</v>
      </c>
      <c r="S35" s="11">
        <v>7956474.0877192998</v>
      </c>
      <c r="T35" s="11">
        <v>7273904.5087719299</v>
      </c>
      <c r="U35" s="12">
        <v>6.92038437360777E-2</v>
      </c>
      <c r="V35" s="11">
        <v>57</v>
      </c>
      <c r="W35" s="11">
        <v>57</v>
      </c>
      <c r="X35" s="10">
        <v>52</v>
      </c>
      <c r="Y35" s="10">
        <v>52</v>
      </c>
      <c r="Z35" s="12">
        <v>1</v>
      </c>
      <c r="AA35">
        <v>0.91228070175438603</v>
      </c>
      <c r="AB35">
        <v>5.9298245614035103</v>
      </c>
      <c r="AC35">
        <v>3.87719298245614</v>
      </c>
      <c r="AD35" s="11">
        <v>0</v>
      </c>
      <c r="AE35" s="13">
        <v>0</v>
      </c>
      <c r="AF35" s="11">
        <v>0</v>
      </c>
      <c r="AG35" s="11">
        <v>0</v>
      </c>
      <c r="AH35" s="12">
        <v>0</v>
      </c>
      <c r="AI35" s="12"/>
      <c r="AJ35" s="13"/>
      <c r="AK35" s="11">
        <v>0</v>
      </c>
      <c r="AL35" s="13">
        <v>0</v>
      </c>
      <c r="AM35" s="11">
        <v>0</v>
      </c>
      <c r="AN35" s="11">
        <v>3</v>
      </c>
      <c r="AO35" s="12">
        <v>5.2631578947368397E-2</v>
      </c>
      <c r="AP35" s="11">
        <v>1</v>
      </c>
      <c r="AQ35" s="12">
        <v>1.9230769230769201E-2</v>
      </c>
      <c r="AS35" s="11">
        <v>0</v>
      </c>
      <c r="AT35">
        <v>1.01757575757576</v>
      </c>
      <c r="AU35">
        <v>1.58393939393939</v>
      </c>
      <c r="AV35" s="14">
        <v>2.6015151515151498</v>
      </c>
      <c r="AW35" s="11">
        <v>0</v>
      </c>
      <c r="AX35" s="12">
        <v>0</v>
      </c>
      <c r="AY35" s="11">
        <v>0</v>
      </c>
      <c r="AZ35" s="12">
        <v>0</v>
      </c>
      <c r="BA35" t="s">
        <v>64</v>
      </c>
      <c r="BB35" t="s">
        <v>375</v>
      </c>
      <c r="BD35">
        <v>4</v>
      </c>
      <c r="BE35" s="10">
        <v>5</v>
      </c>
      <c r="BF35" s="10">
        <v>4</v>
      </c>
      <c r="BG35" t="str">
        <f>VLOOKUP(Table1[[#This Row],[کد فروشگاه]],'[1]شعب فعال'!$C:$F,4,0)</f>
        <v>جواد رستمی</v>
      </c>
    </row>
    <row r="36" spans="1:59">
      <c r="A36" t="s">
        <v>58</v>
      </c>
      <c r="B36" t="s">
        <v>59</v>
      </c>
      <c r="C36" t="s">
        <v>353</v>
      </c>
      <c r="D36" t="s">
        <v>160</v>
      </c>
      <c r="E36" s="10">
        <v>14050709</v>
      </c>
      <c r="F36" t="s">
        <v>148</v>
      </c>
      <c r="G36" t="s">
        <v>63</v>
      </c>
      <c r="H36" s="11">
        <v>603072499</v>
      </c>
      <c r="I36" s="11">
        <v>106125280</v>
      </c>
      <c r="J36" s="11">
        <v>496947219</v>
      </c>
      <c r="K36" s="12">
        <v>0.17597433173619101</v>
      </c>
      <c r="L36" s="11">
        <v>39468680.9991</v>
      </c>
      <c r="M36" s="11">
        <v>145593960</v>
      </c>
      <c r="N36" s="11">
        <v>457478538</v>
      </c>
      <c r="O36" s="11">
        <v>435037299</v>
      </c>
      <c r="P36" s="11">
        <v>474505979.99910003</v>
      </c>
      <c r="Q36" s="11">
        <v>457478538</v>
      </c>
      <c r="R36" s="11">
        <v>11168009.2407407</v>
      </c>
      <c r="S36" s="11">
        <v>9202726.2777777798</v>
      </c>
      <c r="T36" s="11">
        <v>8471824.7777777798</v>
      </c>
      <c r="U36" s="12">
        <v>6.5445996955875094E-2</v>
      </c>
      <c r="V36" s="11">
        <v>54</v>
      </c>
      <c r="W36" s="11">
        <v>54</v>
      </c>
      <c r="X36" s="10">
        <v>48</v>
      </c>
      <c r="Y36" s="10">
        <v>48</v>
      </c>
      <c r="Z36" s="12">
        <v>1</v>
      </c>
      <c r="AA36">
        <v>0.88888888888888895</v>
      </c>
      <c r="AB36">
        <v>5.1111111111111098</v>
      </c>
      <c r="AC36">
        <v>4.3703703703703702</v>
      </c>
      <c r="AD36" s="11">
        <v>0</v>
      </c>
      <c r="AE36" s="13">
        <v>0</v>
      </c>
      <c r="AF36" s="11">
        <v>0</v>
      </c>
      <c r="AG36" s="11">
        <v>0</v>
      </c>
      <c r="AH36" s="12">
        <v>0</v>
      </c>
      <c r="AI36" s="12"/>
      <c r="AJ36" s="13"/>
      <c r="AK36" s="11">
        <v>0</v>
      </c>
      <c r="AL36" s="13">
        <v>0</v>
      </c>
      <c r="AM36" s="11">
        <v>0</v>
      </c>
      <c r="AN36" s="11">
        <v>2</v>
      </c>
      <c r="AO36" s="12">
        <v>3.7037037037037E-2</v>
      </c>
      <c r="AP36" s="11">
        <v>0</v>
      </c>
      <c r="AQ36" s="12">
        <v>0</v>
      </c>
      <c r="AS36" s="11">
        <v>0</v>
      </c>
      <c r="AT36">
        <v>0.91966666666666697</v>
      </c>
      <c r="AU36">
        <v>1.53866666666667</v>
      </c>
      <c r="AV36" s="14">
        <v>2.4583333333333299</v>
      </c>
      <c r="AW36" s="11">
        <v>0</v>
      </c>
      <c r="AX36" s="12">
        <v>0</v>
      </c>
      <c r="AY36" s="11">
        <v>0</v>
      </c>
      <c r="AZ36" s="12">
        <v>0</v>
      </c>
      <c r="BA36" t="s">
        <v>64</v>
      </c>
      <c r="BB36" t="s">
        <v>375</v>
      </c>
      <c r="BD36">
        <v>5</v>
      </c>
      <c r="BE36" s="10">
        <v>5</v>
      </c>
      <c r="BF36" s="10">
        <v>4</v>
      </c>
      <c r="BG36" t="str">
        <f>VLOOKUP(Table1[[#This Row],[کد فروشگاه]],'[1]شعب فعال'!$C:$F,4,0)</f>
        <v>جواد رستمی</v>
      </c>
    </row>
    <row r="37" spans="1:59">
      <c r="A37" t="s">
        <v>58</v>
      </c>
      <c r="B37" t="s">
        <v>59</v>
      </c>
      <c r="C37" t="s">
        <v>353</v>
      </c>
      <c r="D37" t="s">
        <v>159</v>
      </c>
      <c r="E37" s="10">
        <v>14050709</v>
      </c>
      <c r="F37" t="s">
        <v>150</v>
      </c>
      <c r="G37" t="s">
        <v>63</v>
      </c>
      <c r="H37" s="11">
        <v>657346843</v>
      </c>
      <c r="I37" s="11">
        <v>122985604</v>
      </c>
      <c r="J37" s="11">
        <v>534361239</v>
      </c>
      <c r="K37" s="12">
        <v>0.187093929650165</v>
      </c>
      <c r="L37" s="11">
        <v>50183169.999700002</v>
      </c>
      <c r="M37" s="11">
        <v>173168773</v>
      </c>
      <c r="N37" s="11">
        <v>484178069</v>
      </c>
      <c r="O37" s="11">
        <v>460779954</v>
      </c>
      <c r="P37" s="11">
        <v>510963123.99970001</v>
      </c>
      <c r="Q37" s="11">
        <v>484178069</v>
      </c>
      <c r="R37" s="11">
        <v>10113028.3538462</v>
      </c>
      <c r="S37" s="11">
        <v>8220942.1384615405</v>
      </c>
      <c r="T37" s="11">
        <v>7448893.3692307696</v>
      </c>
      <c r="U37" s="12">
        <v>7.6341995794275502E-2</v>
      </c>
      <c r="V37" s="11">
        <v>65</v>
      </c>
      <c r="W37" s="11">
        <v>65</v>
      </c>
      <c r="X37" s="10">
        <v>59</v>
      </c>
      <c r="Y37" s="10">
        <v>57</v>
      </c>
      <c r="Z37" s="12">
        <v>1</v>
      </c>
      <c r="AA37">
        <v>0.90769230769230802</v>
      </c>
      <c r="AB37">
        <v>6.3076923076923102</v>
      </c>
      <c r="AC37">
        <v>4.6769230769230798</v>
      </c>
      <c r="AD37" s="11">
        <v>0</v>
      </c>
      <c r="AE37" s="13">
        <v>0</v>
      </c>
      <c r="AF37" s="11">
        <v>0</v>
      </c>
      <c r="AG37" s="11">
        <v>0</v>
      </c>
      <c r="AH37" s="12">
        <v>0</v>
      </c>
      <c r="AI37" s="12"/>
      <c r="AJ37" s="13"/>
      <c r="AK37" s="11">
        <v>0</v>
      </c>
      <c r="AL37" s="13">
        <v>0</v>
      </c>
      <c r="AM37" s="11">
        <v>0</v>
      </c>
      <c r="AN37" s="11">
        <v>4</v>
      </c>
      <c r="AO37" s="12">
        <v>6.15384615384615E-2</v>
      </c>
      <c r="AP37" s="11">
        <v>1</v>
      </c>
      <c r="AQ37" s="12">
        <v>1.6949152542372899E-2</v>
      </c>
      <c r="AS37" s="11">
        <v>0</v>
      </c>
      <c r="AT37">
        <v>1.1583333333333301</v>
      </c>
      <c r="AU37">
        <v>1.6357526881720399</v>
      </c>
      <c r="AV37" s="14">
        <v>2.7940860215053802</v>
      </c>
      <c r="AW37" s="11">
        <v>0</v>
      </c>
      <c r="AX37" s="12">
        <v>0</v>
      </c>
      <c r="AY37" s="11">
        <v>0</v>
      </c>
      <c r="AZ37" s="12">
        <v>0</v>
      </c>
      <c r="BA37" t="s">
        <v>64</v>
      </c>
      <c r="BB37" t="s">
        <v>350</v>
      </c>
      <c r="BD37">
        <v>6</v>
      </c>
      <c r="BE37" s="10">
        <v>6</v>
      </c>
      <c r="BF37" s="10">
        <v>5</v>
      </c>
      <c r="BG37" t="str">
        <f>VLOOKUP(Table1[[#This Row],[کد فروشگاه]],'[1]شعب فعال'!$C:$F,4,0)</f>
        <v xml:space="preserve">فیاض رحیم زاده 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8BA6-AF8D-47CF-BD25-8786E3CBE242}">
  <dimension ref="A1:S27"/>
  <sheetViews>
    <sheetView rightToLeft="1" workbookViewId="0">
      <selection activeCell="Q33" sqref="Q33"/>
    </sheetView>
  </sheetViews>
  <sheetFormatPr defaultRowHeight="14.4"/>
  <cols>
    <col min="19" max="19" width="14.109375" bestFit="1" customWidth="1"/>
  </cols>
  <sheetData>
    <row r="1" spans="1:19">
      <c r="A1" s="19" t="s">
        <v>116</v>
      </c>
      <c r="B1" s="20" t="s">
        <v>117</v>
      </c>
      <c r="C1" s="20" t="s">
        <v>118</v>
      </c>
      <c r="D1" s="21" t="s">
        <v>119</v>
      </c>
      <c r="E1" s="21" t="s">
        <v>120</v>
      </c>
      <c r="F1" s="20" t="s">
        <v>121</v>
      </c>
      <c r="G1" s="21" t="s">
        <v>122</v>
      </c>
      <c r="H1" s="21" t="s">
        <v>123</v>
      </c>
      <c r="I1" s="21" t="s">
        <v>124</v>
      </c>
      <c r="J1" s="21" t="s">
        <v>125</v>
      </c>
      <c r="K1" s="21" t="s">
        <v>126</v>
      </c>
      <c r="L1" s="21" t="s">
        <v>127</v>
      </c>
      <c r="M1" s="21" t="s">
        <v>128</v>
      </c>
      <c r="N1" s="20" t="s">
        <v>129</v>
      </c>
      <c r="O1" s="20" t="s">
        <v>130</v>
      </c>
      <c r="P1" s="20" t="s">
        <v>131</v>
      </c>
      <c r="Q1" s="20" t="s">
        <v>132</v>
      </c>
      <c r="R1" s="22" t="s">
        <v>133</v>
      </c>
      <c r="S1" t="s">
        <v>53</v>
      </c>
    </row>
    <row r="2" spans="1:19">
      <c r="A2" s="10">
        <v>14050305</v>
      </c>
      <c r="B2" s="24">
        <v>46168.468113344898</v>
      </c>
      <c r="C2" t="s">
        <v>58</v>
      </c>
      <c r="D2">
        <v>7508.1989999999996</v>
      </c>
      <c r="E2" t="s">
        <v>74</v>
      </c>
      <c r="F2" t="s">
        <v>196</v>
      </c>
      <c r="G2" t="s">
        <v>197</v>
      </c>
      <c r="H2" t="s">
        <v>63</v>
      </c>
      <c r="I2" t="s">
        <v>198</v>
      </c>
      <c r="J2" t="s">
        <v>199</v>
      </c>
      <c r="K2" t="s">
        <v>200</v>
      </c>
      <c r="L2" t="s">
        <v>201</v>
      </c>
      <c r="M2" t="s">
        <v>202</v>
      </c>
      <c r="N2" t="s">
        <v>203</v>
      </c>
      <c r="O2" t="s">
        <v>204</v>
      </c>
      <c r="P2" t="s">
        <v>203</v>
      </c>
      <c r="Q2" t="s">
        <v>204</v>
      </c>
      <c r="R2" t="s">
        <v>154</v>
      </c>
      <c r="S2" t="e">
        <f>VLOOKUP(Table15[[#This Row],[InventLocationID]],'[2]شعب فعال'!$A:$A,4,0)</f>
        <v>#REF!</v>
      </c>
    </row>
    <row r="3" spans="1:19">
      <c r="A3" s="10">
        <v>14050305</v>
      </c>
      <c r="B3" s="24">
        <v>46168.701704895801</v>
      </c>
      <c r="C3" t="s">
        <v>58</v>
      </c>
      <c r="D3">
        <v>7508.1989999999996</v>
      </c>
      <c r="E3" t="s">
        <v>74</v>
      </c>
      <c r="F3" t="s">
        <v>196</v>
      </c>
      <c r="G3" t="s">
        <v>205</v>
      </c>
      <c r="H3" t="s">
        <v>63</v>
      </c>
      <c r="I3" t="s">
        <v>206</v>
      </c>
      <c r="J3" t="s">
        <v>207</v>
      </c>
      <c r="K3" t="s">
        <v>208</v>
      </c>
      <c r="L3" t="s">
        <v>209</v>
      </c>
      <c r="M3" t="s">
        <v>210</v>
      </c>
      <c r="N3" t="s">
        <v>211</v>
      </c>
      <c r="O3" t="s">
        <v>212</v>
      </c>
      <c r="P3" t="s">
        <v>211</v>
      </c>
      <c r="Q3" t="s">
        <v>212</v>
      </c>
      <c r="R3" t="s">
        <v>154</v>
      </c>
      <c r="S3" t="e">
        <f>VLOOKUP(Table15[[#This Row],[InventLocationID]],'[2]شعب فعال'!$A:$A,4,0)</f>
        <v>#REF!</v>
      </c>
    </row>
    <row r="4" spans="1:19">
      <c r="A4" s="10">
        <v>14050305</v>
      </c>
      <c r="B4" s="24">
        <v>46168.693246215298</v>
      </c>
      <c r="C4" t="s">
        <v>58</v>
      </c>
      <c r="D4">
        <v>7508.1989999999996</v>
      </c>
      <c r="E4" t="s">
        <v>74</v>
      </c>
      <c r="F4" t="s">
        <v>196</v>
      </c>
      <c r="G4" t="s">
        <v>205</v>
      </c>
      <c r="H4" t="s">
        <v>63</v>
      </c>
      <c r="I4" t="s">
        <v>206</v>
      </c>
      <c r="J4" t="s">
        <v>213</v>
      </c>
      <c r="K4" t="s">
        <v>214</v>
      </c>
      <c r="L4" t="s">
        <v>215</v>
      </c>
      <c r="M4" t="s">
        <v>216</v>
      </c>
      <c r="N4" t="s">
        <v>217</v>
      </c>
      <c r="O4" t="s">
        <v>218</v>
      </c>
      <c r="P4" t="s">
        <v>217</v>
      </c>
      <c r="Q4" t="s">
        <v>218</v>
      </c>
      <c r="R4" t="s">
        <v>154</v>
      </c>
      <c r="S4" t="e">
        <f>VLOOKUP(Table15[[#This Row],[InventLocationID]],'[2]شعب فعال'!$A:$A,4,0)</f>
        <v>#REF!</v>
      </c>
    </row>
    <row r="5" spans="1:19">
      <c r="A5" s="10">
        <v>14050305</v>
      </c>
      <c r="B5" s="24">
        <v>46168.728509143497</v>
      </c>
      <c r="C5" t="s">
        <v>58</v>
      </c>
      <c r="D5">
        <v>7508.1989999999996</v>
      </c>
      <c r="E5" t="s">
        <v>74</v>
      </c>
      <c r="F5" t="s">
        <v>196</v>
      </c>
      <c r="G5" t="s">
        <v>219</v>
      </c>
      <c r="H5" t="s">
        <v>63</v>
      </c>
      <c r="I5" t="s">
        <v>206</v>
      </c>
      <c r="J5" t="s">
        <v>207</v>
      </c>
      <c r="K5" t="s">
        <v>208</v>
      </c>
      <c r="L5" t="s">
        <v>220</v>
      </c>
      <c r="M5" t="s">
        <v>221</v>
      </c>
      <c r="N5" t="s">
        <v>222</v>
      </c>
      <c r="O5" t="s">
        <v>223</v>
      </c>
      <c r="P5" t="s">
        <v>222</v>
      </c>
      <c r="Q5" t="s">
        <v>223</v>
      </c>
      <c r="R5" t="s">
        <v>154</v>
      </c>
      <c r="S5" t="e">
        <f>VLOOKUP(Table15[[#This Row],[InventLocationID]],'[2]شعب فعال'!$A:$A,4,0)</f>
        <v>#REF!</v>
      </c>
    </row>
    <row r="6" spans="1:19">
      <c r="A6" s="10">
        <v>14050305</v>
      </c>
      <c r="B6" s="24">
        <v>46168.468007719901</v>
      </c>
      <c r="C6" t="s">
        <v>58</v>
      </c>
      <c r="D6">
        <v>755.19899999999996</v>
      </c>
      <c r="E6" t="s">
        <v>88</v>
      </c>
      <c r="F6" t="s">
        <v>224</v>
      </c>
      <c r="G6" t="s">
        <v>225</v>
      </c>
      <c r="H6" t="s">
        <v>63</v>
      </c>
      <c r="I6" t="s">
        <v>206</v>
      </c>
      <c r="J6" t="s">
        <v>207</v>
      </c>
      <c r="K6" t="s">
        <v>208</v>
      </c>
      <c r="L6" t="s">
        <v>209</v>
      </c>
      <c r="M6" t="s">
        <v>210</v>
      </c>
      <c r="N6" t="s">
        <v>211</v>
      </c>
      <c r="O6" t="s">
        <v>212</v>
      </c>
      <c r="P6" t="s">
        <v>226</v>
      </c>
      <c r="Q6" t="s">
        <v>227</v>
      </c>
      <c r="R6" t="s">
        <v>155</v>
      </c>
      <c r="S6" t="e">
        <f>VLOOKUP(Table15[[#This Row],[InventLocationID]],'[2]شعب فعال'!$A:$A,4,0)</f>
        <v>#REF!</v>
      </c>
    </row>
    <row r="7" spans="1:19">
      <c r="A7" s="10">
        <v>14050306</v>
      </c>
      <c r="B7" s="24">
        <v>46169.709108414398</v>
      </c>
      <c r="C7" t="s">
        <v>58</v>
      </c>
      <c r="D7">
        <v>7914.1989999999996</v>
      </c>
      <c r="E7" t="s">
        <v>70</v>
      </c>
      <c r="F7" t="s">
        <v>228</v>
      </c>
      <c r="G7" t="s">
        <v>229</v>
      </c>
      <c r="H7" t="s">
        <v>63</v>
      </c>
      <c r="I7" t="s">
        <v>134</v>
      </c>
      <c r="J7" t="s">
        <v>230</v>
      </c>
      <c r="K7" t="s">
        <v>231</v>
      </c>
      <c r="L7" t="s">
        <v>232</v>
      </c>
      <c r="M7" t="s">
        <v>233</v>
      </c>
      <c r="N7" t="s">
        <v>234</v>
      </c>
      <c r="O7" t="s">
        <v>235</v>
      </c>
      <c r="P7" t="s">
        <v>234</v>
      </c>
      <c r="Q7" t="s">
        <v>235</v>
      </c>
      <c r="R7" t="s">
        <v>236</v>
      </c>
      <c r="S7" t="e">
        <f>VLOOKUP(Table15[[#This Row],[InventLocationID]],'[2]شعب فعال'!$A:$A,4,0)</f>
        <v>#REF!</v>
      </c>
    </row>
    <row r="8" spans="1:19">
      <c r="A8" s="10">
        <v>14050306</v>
      </c>
      <c r="B8" s="24">
        <v>46169.709108414398</v>
      </c>
      <c r="C8" t="s">
        <v>58</v>
      </c>
      <c r="D8">
        <v>7914.1989999999996</v>
      </c>
      <c r="E8" t="s">
        <v>70</v>
      </c>
      <c r="F8" t="s">
        <v>228</v>
      </c>
      <c r="G8" t="s">
        <v>229</v>
      </c>
      <c r="H8" t="s">
        <v>63</v>
      </c>
      <c r="I8" t="s">
        <v>134</v>
      </c>
      <c r="J8" t="s">
        <v>185</v>
      </c>
      <c r="K8" t="s">
        <v>186</v>
      </c>
      <c r="L8" t="s">
        <v>187</v>
      </c>
      <c r="M8" t="s">
        <v>237</v>
      </c>
      <c r="N8" t="s">
        <v>238</v>
      </c>
      <c r="O8" t="s">
        <v>239</v>
      </c>
      <c r="P8" t="s">
        <v>238</v>
      </c>
      <c r="Q8" t="s">
        <v>239</v>
      </c>
      <c r="R8" t="s">
        <v>155</v>
      </c>
      <c r="S8" t="e">
        <f>VLOOKUP(Table15[[#This Row],[InventLocationID]],'[2]شعب فعال'!$A:$A,4,0)</f>
        <v>#REF!</v>
      </c>
    </row>
    <row r="9" spans="1:19">
      <c r="A9" s="10">
        <v>14050306</v>
      </c>
      <c r="B9" s="24">
        <v>46169.661954247698</v>
      </c>
      <c r="C9" t="s">
        <v>58</v>
      </c>
      <c r="D9">
        <v>6757.1989999999996</v>
      </c>
      <c r="E9" t="s">
        <v>95</v>
      </c>
      <c r="F9" t="s">
        <v>240</v>
      </c>
      <c r="G9" t="s">
        <v>241</v>
      </c>
      <c r="H9" t="s">
        <v>63</v>
      </c>
      <c r="I9" t="s">
        <v>134</v>
      </c>
      <c r="J9" t="s">
        <v>242</v>
      </c>
      <c r="K9" t="s">
        <v>243</v>
      </c>
      <c r="L9" t="s">
        <v>244</v>
      </c>
      <c r="M9" t="s">
        <v>245</v>
      </c>
      <c r="N9" t="s">
        <v>246</v>
      </c>
      <c r="O9" t="s">
        <v>247</v>
      </c>
      <c r="P9" t="s">
        <v>246</v>
      </c>
      <c r="Q9" t="s">
        <v>247</v>
      </c>
      <c r="R9" t="s">
        <v>154</v>
      </c>
      <c r="S9" t="e">
        <f>VLOOKUP(Table15[[#This Row],[InventLocationID]],'[2]شعب فعال'!$A:$A,4,0)</f>
        <v>#REF!</v>
      </c>
    </row>
    <row r="10" spans="1:19">
      <c r="A10" s="10">
        <v>14050306</v>
      </c>
      <c r="B10" s="24">
        <v>46169.671007754601</v>
      </c>
      <c r="C10" t="s">
        <v>58</v>
      </c>
      <c r="D10">
        <v>6757.1989999999996</v>
      </c>
      <c r="E10" t="s">
        <v>95</v>
      </c>
      <c r="F10" t="s">
        <v>240</v>
      </c>
      <c r="G10" t="s">
        <v>241</v>
      </c>
      <c r="H10" t="s">
        <v>63</v>
      </c>
      <c r="I10" t="s">
        <v>134</v>
      </c>
      <c r="J10" t="s">
        <v>242</v>
      </c>
      <c r="K10" t="s">
        <v>243</v>
      </c>
      <c r="L10" t="s">
        <v>248</v>
      </c>
      <c r="M10" t="s">
        <v>249</v>
      </c>
      <c r="N10" t="s">
        <v>250</v>
      </c>
      <c r="O10" t="s">
        <v>251</v>
      </c>
      <c r="P10" t="s">
        <v>250</v>
      </c>
      <c r="Q10" t="s">
        <v>251</v>
      </c>
      <c r="R10" t="s">
        <v>154</v>
      </c>
      <c r="S10" t="e">
        <f>VLOOKUP(Table15[[#This Row],[InventLocationID]],'[2]شعب فعال'!$A:$A,4,0)</f>
        <v>#REF!</v>
      </c>
    </row>
    <row r="11" spans="1:19">
      <c r="A11" s="10">
        <v>14050307</v>
      </c>
      <c r="B11" s="24">
        <v>46170.504319328698</v>
      </c>
      <c r="C11" t="s">
        <v>58</v>
      </c>
      <c r="D11">
        <v>7508.1989999999996</v>
      </c>
      <c r="E11" t="s">
        <v>74</v>
      </c>
      <c r="F11" t="s">
        <v>196</v>
      </c>
      <c r="G11" t="s">
        <v>252</v>
      </c>
      <c r="H11" t="s">
        <v>63</v>
      </c>
      <c r="I11" t="s">
        <v>198</v>
      </c>
      <c r="J11" t="s">
        <v>199</v>
      </c>
      <c r="K11" t="s">
        <v>200</v>
      </c>
      <c r="L11" t="s">
        <v>201</v>
      </c>
      <c r="M11" t="s">
        <v>202</v>
      </c>
      <c r="N11" t="s">
        <v>203</v>
      </c>
      <c r="O11" t="s">
        <v>204</v>
      </c>
      <c r="P11" t="s">
        <v>203</v>
      </c>
      <c r="Q11" t="s">
        <v>204</v>
      </c>
      <c r="R11" t="s">
        <v>154</v>
      </c>
      <c r="S11" t="e">
        <f>VLOOKUP(Table15[[#This Row],[InventLocationID]],'[2]شعب فعال'!$A:$A,4,0)</f>
        <v>#REF!</v>
      </c>
    </row>
    <row r="12" spans="1:19">
      <c r="A12" s="10">
        <v>14050308</v>
      </c>
      <c r="B12" s="24">
        <v>46171.6170913194</v>
      </c>
      <c r="C12" t="s">
        <v>58</v>
      </c>
      <c r="D12">
        <v>7508.1989999999996</v>
      </c>
      <c r="E12" t="s">
        <v>74</v>
      </c>
      <c r="F12" t="s">
        <v>196</v>
      </c>
      <c r="G12" t="s">
        <v>253</v>
      </c>
      <c r="H12" t="s">
        <v>63</v>
      </c>
      <c r="I12" t="s">
        <v>134</v>
      </c>
      <c r="J12" t="s">
        <v>254</v>
      </c>
      <c r="K12" t="s">
        <v>255</v>
      </c>
      <c r="L12" t="s">
        <v>256</v>
      </c>
      <c r="M12" t="s">
        <v>257</v>
      </c>
      <c r="N12" t="s">
        <v>258</v>
      </c>
      <c r="O12" t="s">
        <v>259</v>
      </c>
      <c r="P12" t="s">
        <v>258</v>
      </c>
      <c r="Q12" t="s">
        <v>259</v>
      </c>
      <c r="R12" t="s">
        <v>154</v>
      </c>
      <c r="S12" t="e">
        <f>VLOOKUP(Table15[[#This Row],[InventLocationID]],'[2]شعب فعال'!$A:$A,4,0)</f>
        <v>#REF!</v>
      </c>
    </row>
    <row r="13" spans="1:19">
      <c r="A13" s="10">
        <v>14050308</v>
      </c>
      <c r="B13" s="24">
        <v>46171.637338576402</v>
      </c>
      <c r="C13" t="s">
        <v>58</v>
      </c>
      <c r="D13">
        <v>7508.1989999999996</v>
      </c>
      <c r="E13" t="s">
        <v>74</v>
      </c>
      <c r="F13" t="s">
        <v>196</v>
      </c>
      <c r="G13" t="s">
        <v>260</v>
      </c>
      <c r="H13" t="s">
        <v>63</v>
      </c>
      <c r="I13" t="s">
        <v>134</v>
      </c>
      <c r="J13" t="s">
        <v>261</v>
      </c>
      <c r="K13" t="s">
        <v>262</v>
      </c>
      <c r="L13" t="s">
        <v>263</v>
      </c>
      <c r="M13" t="s">
        <v>264</v>
      </c>
      <c r="N13" t="s">
        <v>265</v>
      </c>
      <c r="O13" t="s">
        <v>266</v>
      </c>
      <c r="P13" t="s">
        <v>265</v>
      </c>
      <c r="Q13" t="s">
        <v>266</v>
      </c>
      <c r="R13" t="s">
        <v>154</v>
      </c>
      <c r="S13" t="e">
        <f>VLOOKUP(Table15[[#This Row],[InventLocationID]],'[2]شعب فعال'!$A:$A,4,0)</f>
        <v>#REF!</v>
      </c>
    </row>
    <row r="14" spans="1:19">
      <c r="A14" s="10">
        <v>14050312</v>
      </c>
      <c r="B14" s="24">
        <v>46175.772479629602</v>
      </c>
      <c r="C14" t="s">
        <v>58</v>
      </c>
      <c r="D14">
        <v>7223.1989999999996</v>
      </c>
      <c r="E14" t="s">
        <v>78</v>
      </c>
      <c r="F14" t="s">
        <v>267</v>
      </c>
      <c r="G14" t="s">
        <v>268</v>
      </c>
      <c r="H14" t="s">
        <v>63</v>
      </c>
      <c r="I14" t="s">
        <v>206</v>
      </c>
      <c r="J14" t="s">
        <v>269</v>
      </c>
      <c r="K14" t="s">
        <v>270</v>
      </c>
      <c r="L14" t="s">
        <v>271</v>
      </c>
      <c r="M14" t="s">
        <v>272</v>
      </c>
      <c r="N14" t="s">
        <v>273</v>
      </c>
      <c r="O14" t="s">
        <v>274</v>
      </c>
      <c r="P14" t="s">
        <v>275</v>
      </c>
      <c r="Q14" t="s">
        <v>276</v>
      </c>
      <c r="R14" t="s">
        <v>155</v>
      </c>
      <c r="S14" t="e">
        <f>VLOOKUP(Table15[[#This Row],[InventLocationID]],'[2]شعب فعال'!$A:$A,4,0)</f>
        <v>#REF!</v>
      </c>
    </row>
    <row r="15" spans="1:19">
      <c r="A15" s="10">
        <v>14050313</v>
      </c>
      <c r="B15" s="24">
        <v>46176.571485104199</v>
      </c>
      <c r="C15" t="s">
        <v>58</v>
      </c>
      <c r="D15">
        <v>4969.1989999999996</v>
      </c>
      <c r="E15" t="s">
        <v>67</v>
      </c>
      <c r="F15" t="s">
        <v>277</v>
      </c>
      <c r="G15" t="s">
        <v>278</v>
      </c>
      <c r="H15" t="s">
        <v>63</v>
      </c>
      <c r="I15" t="s">
        <v>156</v>
      </c>
      <c r="J15" t="s">
        <v>279</v>
      </c>
      <c r="K15" t="s">
        <v>280</v>
      </c>
      <c r="L15" t="s">
        <v>281</v>
      </c>
      <c r="M15" t="s">
        <v>282</v>
      </c>
      <c r="N15" t="s">
        <v>283</v>
      </c>
      <c r="O15" t="s">
        <v>284</v>
      </c>
      <c r="P15" t="s">
        <v>283</v>
      </c>
      <c r="Q15" t="s">
        <v>284</v>
      </c>
      <c r="R15" t="s">
        <v>154</v>
      </c>
      <c r="S15" t="e">
        <f>VLOOKUP(Table15[[#This Row],[InventLocationID]],'[2]شعب فعال'!$A:$A,4,0)</f>
        <v>#REF!</v>
      </c>
    </row>
    <row r="16" spans="1:19">
      <c r="A16" s="10">
        <v>14050313</v>
      </c>
      <c r="B16" s="24">
        <v>46176.593918437502</v>
      </c>
      <c r="C16" t="s">
        <v>58</v>
      </c>
      <c r="D16">
        <v>4969.1989999999996</v>
      </c>
      <c r="E16" t="s">
        <v>67</v>
      </c>
      <c r="F16" t="s">
        <v>277</v>
      </c>
      <c r="G16" t="s">
        <v>285</v>
      </c>
      <c r="H16" t="s">
        <v>63</v>
      </c>
      <c r="I16" t="s">
        <v>156</v>
      </c>
      <c r="J16" t="s">
        <v>279</v>
      </c>
      <c r="K16" t="s">
        <v>280</v>
      </c>
      <c r="L16" t="s">
        <v>281</v>
      </c>
      <c r="M16" t="s">
        <v>282</v>
      </c>
      <c r="N16" t="s">
        <v>283</v>
      </c>
      <c r="O16" t="s">
        <v>284</v>
      </c>
      <c r="P16" t="s">
        <v>283</v>
      </c>
      <c r="Q16" t="s">
        <v>284</v>
      </c>
      <c r="R16" t="s">
        <v>154</v>
      </c>
      <c r="S16" t="e">
        <f>VLOOKUP(Table15[[#This Row],[InventLocationID]],'[2]شعب فعال'!$A:$A,4,0)</f>
        <v>#REF!</v>
      </c>
    </row>
    <row r="17" spans="1:19">
      <c r="A17" s="10">
        <v>14050313</v>
      </c>
      <c r="B17" s="24">
        <v>46176.499280902797</v>
      </c>
      <c r="C17" t="s">
        <v>58</v>
      </c>
      <c r="D17">
        <v>5634.1989999999996</v>
      </c>
      <c r="E17" t="s">
        <v>188</v>
      </c>
      <c r="F17" t="s">
        <v>286</v>
      </c>
      <c r="G17" t="s">
        <v>287</v>
      </c>
      <c r="H17" t="s">
        <v>63</v>
      </c>
      <c r="I17" t="s">
        <v>156</v>
      </c>
      <c r="J17" t="s">
        <v>279</v>
      </c>
      <c r="K17" t="s">
        <v>280</v>
      </c>
      <c r="L17" t="s">
        <v>281</v>
      </c>
      <c r="M17" t="s">
        <v>282</v>
      </c>
      <c r="N17" t="s">
        <v>288</v>
      </c>
      <c r="O17" t="s">
        <v>289</v>
      </c>
      <c r="P17" t="s">
        <v>290</v>
      </c>
      <c r="Q17" t="s">
        <v>291</v>
      </c>
      <c r="R17" t="s">
        <v>155</v>
      </c>
      <c r="S17" t="e">
        <f>VLOOKUP(Table15[[#This Row],[InventLocationID]],'[2]شعب فعال'!$A:$A,4,0)</f>
        <v>#REF!</v>
      </c>
    </row>
    <row r="18" spans="1:19">
      <c r="A18" s="10">
        <v>14050313</v>
      </c>
      <c r="B18" s="24">
        <v>46176.498914502299</v>
      </c>
      <c r="C18" t="s">
        <v>58</v>
      </c>
      <c r="D18">
        <v>5634.1989999999996</v>
      </c>
      <c r="E18" t="s">
        <v>188</v>
      </c>
      <c r="F18" t="s">
        <v>286</v>
      </c>
      <c r="G18" t="s">
        <v>292</v>
      </c>
      <c r="H18" t="s">
        <v>63</v>
      </c>
      <c r="I18" t="s">
        <v>156</v>
      </c>
      <c r="J18" t="s">
        <v>279</v>
      </c>
      <c r="K18" t="s">
        <v>280</v>
      </c>
      <c r="L18" t="s">
        <v>281</v>
      </c>
      <c r="M18" t="s">
        <v>282</v>
      </c>
      <c r="N18" t="s">
        <v>288</v>
      </c>
      <c r="O18" t="s">
        <v>289</v>
      </c>
      <c r="P18" t="s">
        <v>290</v>
      </c>
      <c r="Q18" t="s">
        <v>291</v>
      </c>
      <c r="R18" t="s">
        <v>155</v>
      </c>
      <c r="S18" t="e">
        <f>VLOOKUP(Table15[[#This Row],[InventLocationID]],'[2]شعب فعال'!$A:$A,4,0)</f>
        <v>#REF!</v>
      </c>
    </row>
    <row r="19" spans="1:19">
      <c r="A19" s="10">
        <v>14050313</v>
      </c>
      <c r="B19" s="24">
        <v>46176.520959294001</v>
      </c>
      <c r="C19" t="s">
        <v>58</v>
      </c>
      <c r="D19">
        <v>7223.1989999999996</v>
      </c>
      <c r="E19" t="s">
        <v>78</v>
      </c>
      <c r="F19" t="s">
        <v>267</v>
      </c>
      <c r="G19" t="s">
        <v>293</v>
      </c>
      <c r="H19" t="s">
        <v>63</v>
      </c>
      <c r="I19" t="s">
        <v>198</v>
      </c>
      <c r="J19" t="s">
        <v>199</v>
      </c>
      <c r="K19" t="s">
        <v>200</v>
      </c>
      <c r="L19" t="s">
        <v>201</v>
      </c>
      <c r="M19" t="s">
        <v>202</v>
      </c>
      <c r="N19" t="s">
        <v>203</v>
      </c>
      <c r="O19" t="s">
        <v>204</v>
      </c>
      <c r="P19" t="s">
        <v>294</v>
      </c>
      <c r="Q19" t="s">
        <v>295</v>
      </c>
      <c r="R19" t="s">
        <v>155</v>
      </c>
      <c r="S19" t="e">
        <f>VLOOKUP(Table15[[#This Row],[InventLocationID]],'[2]شعب فعال'!$A:$A,4,0)</f>
        <v>#REF!</v>
      </c>
    </row>
    <row r="20" spans="1:19">
      <c r="A20" s="10">
        <v>14050313</v>
      </c>
      <c r="B20" s="24">
        <v>46176.525526388898</v>
      </c>
      <c r="C20" t="s">
        <v>58</v>
      </c>
      <c r="D20">
        <v>7223.1989999999996</v>
      </c>
      <c r="E20" t="s">
        <v>78</v>
      </c>
      <c r="F20" t="s">
        <v>267</v>
      </c>
      <c r="G20" t="s">
        <v>293</v>
      </c>
      <c r="H20" t="s">
        <v>63</v>
      </c>
      <c r="I20" t="s">
        <v>198</v>
      </c>
      <c r="J20" t="s">
        <v>199</v>
      </c>
      <c r="K20" t="s">
        <v>200</v>
      </c>
      <c r="L20" t="s">
        <v>201</v>
      </c>
      <c r="M20" t="s">
        <v>202</v>
      </c>
      <c r="N20" t="s">
        <v>296</v>
      </c>
      <c r="O20" t="s">
        <v>297</v>
      </c>
      <c r="P20" t="s">
        <v>294</v>
      </c>
      <c r="Q20" t="s">
        <v>295</v>
      </c>
      <c r="R20" t="s">
        <v>155</v>
      </c>
      <c r="S20" t="e">
        <f>VLOOKUP(Table15[[#This Row],[InventLocationID]],'[2]شعب فعال'!$A:$A,4,0)</f>
        <v>#REF!</v>
      </c>
    </row>
    <row r="21" spans="1:19">
      <c r="A21" s="10">
        <v>14050314</v>
      </c>
      <c r="B21" s="24">
        <v>46177.833291319403</v>
      </c>
      <c r="C21" t="s">
        <v>58</v>
      </c>
      <c r="D21">
        <v>4969.1989999999996</v>
      </c>
      <c r="E21" t="s">
        <v>67</v>
      </c>
      <c r="F21" t="s">
        <v>277</v>
      </c>
      <c r="G21" t="s">
        <v>298</v>
      </c>
      <c r="H21" t="s">
        <v>63</v>
      </c>
      <c r="I21" t="s">
        <v>156</v>
      </c>
      <c r="J21" t="s">
        <v>279</v>
      </c>
      <c r="K21" t="s">
        <v>280</v>
      </c>
      <c r="L21" t="s">
        <v>281</v>
      </c>
      <c r="M21" t="s">
        <v>282</v>
      </c>
      <c r="N21" t="s">
        <v>283</v>
      </c>
      <c r="O21" t="s">
        <v>284</v>
      </c>
      <c r="P21" t="s">
        <v>283</v>
      </c>
      <c r="Q21" t="s">
        <v>284</v>
      </c>
      <c r="R21" t="s">
        <v>154</v>
      </c>
      <c r="S21" t="e">
        <f>VLOOKUP(Table15[[#This Row],[InventLocationID]],'[2]شعب فعال'!$A:$A,4,0)</f>
        <v>#REF!</v>
      </c>
    </row>
    <row r="22" spans="1:19">
      <c r="A22" s="10">
        <v>14050319</v>
      </c>
      <c r="B22" s="24">
        <v>46182.794971493102</v>
      </c>
      <c r="C22" t="s">
        <v>58</v>
      </c>
      <c r="D22">
        <v>3279.1990000000001</v>
      </c>
      <c r="E22" t="s">
        <v>76</v>
      </c>
      <c r="F22" t="s">
        <v>183</v>
      </c>
      <c r="G22" t="s">
        <v>299</v>
      </c>
      <c r="H22" t="s">
        <v>63</v>
      </c>
      <c r="I22" t="s">
        <v>198</v>
      </c>
      <c r="J22" t="s">
        <v>300</v>
      </c>
      <c r="K22" t="s">
        <v>301</v>
      </c>
      <c r="L22" t="s">
        <v>302</v>
      </c>
      <c r="M22" t="s">
        <v>303</v>
      </c>
      <c r="N22" t="s">
        <v>304</v>
      </c>
      <c r="O22" t="s">
        <v>305</v>
      </c>
      <c r="P22" t="s">
        <v>306</v>
      </c>
      <c r="Q22" t="s">
        <v>307</v>
      </c>
      <c r="R22" t="s">
        <v>155</v>
      </c>
      <c r="S22" t="e">
        <f>VLOOKUP(Table15[[#This Row],[InventLocationID]],'[2]شعب فعال'!$A:$A,4,0)</f>
        <v>#REF!</v>
      </c>
    </row>
    <row r="23" spans="1:19">
      <c r="A23" s="10">
        <v>14050320</v>
      </c>
      <c r="B23" s="24">
        <v>46183.5625456829</v>
      </c>
      <c r="C23" t="s">
        <v>58</v>
      </c>
      <c r="D23">
        <v>6248.1989999999996</v>
      </c>
      <c r="E23" t="s">
        <v>86</v>
      </c>
      <c r="F23" t="s">
        <v>85</v>
      </c>
      <c r="G23" t="s">
        <v>308</v>
      </c>
      <c r="H23" t="s">
        <v>63</v>
      </c>
      <c r="I23" t="s">
        <v>156</v>
      </c>
      <c r="J23" t="s">
        <v>309</v>
      </c>
      <c r="K23" t="s">
        <v>310</v>
      </c>
      <c r="L23" t="s">
        <v>311</v>
      </c>
      <c r="M23" t="s">
        <v>312</v>
      </c>
      <c r="N23" t="s">
        <v>313</v>
      </c>
      <c r="O23" t="s">
        <v>314</v>
      </c>
      <c r="P23" t="s">
        <v>313</v>
      </c>
      <c r="Q23" t="s">
        <v>314</v>
      </c>
      <c r="R23" t="s">
        <v>154</v>
      </c>
      <c r="S23" t="e">
        <f>VLOOKUP(Table15[[#This Row],[InventLocationID]],'[2]شعب فعال'!$A:$A,4,0)</f>
        <v>#REF!</v>
      </c>
    </row>
    <row r="24" spans="1:19">
      <c r="A24" s="10">
        <v>14050321</v>
      </c>
      <c r="B24" s="24">
        <v>46184.507493286997</v>
      </c>
      <c r="C24" t="s">
        <v>58</v>
      </c>
      <c r="D24">
        <v>6196.1989999999996</v>
      </c>
      <c r="E24" t="s">
        <v>80</v>
      </c>
      <c r="F24" t="s">
        <v>79</v>
      </c>
      <c r="G24" t="s">
        <v>315</v>
      </c>
      <c r="H24" t="s">
        <v>63</v>
      </c>
      <c r="I24" t="s">
        <v>206</v>
      </c>
      <c r="J24" t="s">
        <v>316</v>
      </c>
      <c r="K24" t="s">
        <v>317</v>
      </c>
      <c r="L24" t="s">
        <v>318</v>
      </c>
      <c r="M24" t="s">
        <v>319</v>
      </c>
      <c r="N24" t="s">
        <v>320</v>
      </c>
      <c r="O24" t="s">
        <v>321</v>
      </c>
      <c r="P24" t="s">
        <v>322</v>
      </c>
      <c r="Q24" t="s">
        <v>323</v>
      </c>
      <c r="R24" t="s">
        <v>155</v>
      </c>
      <c r="S24" t="e">
        <f>VLOOKUP(Table15[[#This Row],[InventLocationID]],'[2]شعب فعال'!$A:$A,4,0)</f>
        <v>#REF!</v>
      </c>
    </row>
    <row r="25" spans="1:19">
      <c r="A25" s="10">
        <v>14050323</v>
      </c>
      <c r="B25" s="24">
        <v>46186.399569675901</v>
      </c>
      <c r="C25" t="s">
        <v>58</v>
      </c>
      <c r="D25">
        <v>5329.1989999999996</v>
      </c>
      <c r="E25" t="s">
        <v>62</v>
      </c>
      <c r="F25" t="s">
        <v>324</v>
      </c>
      <c r="G25" t="s">
        <v>325</v>
      </c>
      <c r="H25" t="s">
        <v>63</v>
      </c>
      <c r="I25" t="s">
        <v>198</v>
      </c>
      <c r="J25" t="s">
        <v>199</v>
      </c>
      <c r="K25" t="s">
        <v>200</v>
      </c>
      <c r="L25" t="s">
        <v>201</v>
      </c>
      <c r="M25" t="s">
        <v>202</v>
      </c>
      <c r="N25" t="s">
        <v>326</v>
      </c>
      <c r="O25" t="s">
        <v>327</v>
      </c>
      <c r="P25" t="s">
        <v>326</v>
      </c>
      <c r="Q25" t="s">
        <v>327</v>
      </c>
      <c r="R25" t="s">
        <v>154</v>
      </c>
      <c r="S25" t="e">
        <f>VLOOKUP(Table15[[#This Row],[InventLocationID]],'[2]شعب فعال'!$A:$A,4,0)</f>
        <v>#REF!</v>
      </c>
    </row>
    <row r="26" spans="1:19">
      <c r="A26" s="10">
        <v>14050323</v>
      </c>
      <c r="B26" s="24">
        <v>46186.633556944398</v>
      </c>
      <c r="C26" t="s">
        <v>58</v>
      </c>
      <c r="D26">
        <v>3529.1990000000001</v>
      </c>
      <c r="E26" t="s">
        <v>82</v>
      </c>
      <c r="F26" t="s">
        <v>184</v>
      </c>
      <c r="G26" t="s">
        <v>328</v>
      </c>
      <c r="H26" t="s">
        <v>63</v>
      </c>
      <c r="I26" t="s">
        <v>156</v>
      </c>
      <c r="J26" t="s">
        <v>157</v>
      </c>
      <c r="K26" t="s">
        <v>329</v>
      </c>
      <c r="L26" t="s">
        <v>330</v>
      </c>
      <c r="M26" t="s">
        <v>331</v>
      </c>
      <c r="N26" t="s">
        <v>332</v>
      </c>
      <c r="O26" t="s">
        <v>333</v>
      </c>
      <c r="P26" t="s">
        <v>334</v>
      </c>
      <c r="Q26" t="s">
        <v>335</v>
      </c>
      <c r="R26" t="s">
        <v>155</v>
      </c>
      <c r="S26" t="e">
        <f>VLOOKUP(Table15[[#This Row],[InventLocationID]],'[2]شعب فعال'!$A:$A,4,0)</f>
        <v>#REF!</v>
      </c>
    </row>
    <row r="27" spans="1:19">
      <c r="A27" s="10">
        <v>14050323</v>
      </c>
      <c r="B27" s="24">
        <v>46186.399612534697</v>
      </c>
      <c r="C27" t="s">
        <v>58</v>
      </c>
      <c r="D27">
        <v>8486.1990000000005</v>
      </c>
      <c r="E27" t="s">
        <v>147</v>
      </c>
      <c r="F27" t="s">
        <v>161</v>
      </c>
      <c r="G27" t="s">
        <v>336</v>
      </c>
      <c r="H27" t="s">
        <v>63</v>
      </c>
      <c r="I27" t="s">
        <v>134</v>
      </c>
      <c r="J27" t="s">
        <v>337</v>
      </c>
      <c r="K27" t="s">
        <v>338</v>
      </c>
      <c r="L27" t="s">
        <v>339</v>
      </c>
      <c r="M27" t="s">
        <v>340</v>
      </c>
      <c r="N27" t="s">
        <v>341</v>
      </c>
      <c r="O27" t="s">
        <v>342</v>
      </c>
      <c r="P27" t="s">
        <v>341</v>
      </c>
      <c r="Q27" t="s">
        <v>342</v>
      </c>
      <c r="R27" t="s">
        <v>154</v>
      </c>
      <c r="S27" t="e">
        <f>VLOOKUP(Table15[[#This Row],[InventLocationID]],'[2]شعب فعال'!$A:$A,4,0)</f>
        <v>#REF!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21DF1FC1-FC3C-4B39-A194-3AA71A6A0487}">
  <ds:schemaRefs/>
</ds:datastoreItem>
</file>

<file path=customXml/itemProps2.xml><?xml version="1.0" encoding="utf-8"?>
<ds:datastoreItem xmlns:ds="http://schemas.openxmlformats.org/officeDocument/2006/customXml" ds:itemID="{1084B213-1D06-45F0-A06E-DF885A20C945}">
  <ds:schemaRefs/>
</ds:datastoreItem>
</file>

<file path=customXml/itemProps3.xml><?xml version="1.0" encoding="utf-8"?>
<ds:datastoreItem xmlns:ds="http://schemas.openxmlformats.org/officeDocument/2006/customXml" ds:itemID="{66A81FD4-F36E-493C-BEFE-020526BFB0B7}">
  <ds:schemaRefs/>
</ds:datastoreItem>
</file>

<file path=customXml/itemProps4.xml><?xml version="1.0" encoding="utf-8"?>
<ds:datastoreItem xmlns:ds="http://schemas.openxmlformats.org/officeDocument/2006/customXml" ds:itemID="{C57A76E7-09D4-4AE0-8291-94E780362F48}">
  <ds:schemaRefs/>
</ds:datastoreItem>
</file>

<file path=customXml/itemProps5.xml><?xml version="1.0" encoding="utf-8"?>
<ds:datastoreItem xmlns:ds="http://schemas.openxmlformats.org/officeDocument/2006/customXml" ds:itemID="{8CAA8EB4-1D4F-4B79-A60D-C49CBCE4FABA}">
  <ds:schemaRefs/>
</ds:datastoreItem>
</file>

<file path=customXml/itemProps6.xml><?xml version="1.0" encoding="utf-8"?>
<ds:datastoreItem xmlns:ds="http://schemas.openxmlformats.org/officeDocument/2006/customXml" ds:itemID="{9BAF7A6B-D8CB-4F1F-BB7B-AB249A3CDD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گزارش عملکرد </vt:lpstr>
      <vt:lpstr>مقایسه ای  </vt:lpstr>
      <vt:lpstr>ریز استرداد </vt:lpstr>
      <vt:lpstr>ناموجودی </vt:lpstr>
      <vt:lpstr>ریز تاخیر</vt:lpstr>
      <vt:lpstr>ریز ناموجودی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shahin</cp:lastModifiedBy>
  <cp:lastPrinted>2026-07-04T07:06:57Z</cp:lastPrinted>
  <dcterms:created xsi:type="dcterms:W3CDTF">2016-07-06T08:22:49Z</dcterms:created>
  <dcterms:modified xsi:type="dcterms:W3CDTF">2026-10-08T21:56:50Z</dcterms:modified>
</cp:coreProperties>
</file>